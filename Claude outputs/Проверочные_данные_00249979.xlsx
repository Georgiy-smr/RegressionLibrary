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оверочные точки" sheetId="1" state="visible" r:id="rId3"/>
    <sheet name="Калибровочные точки" sheetId="2" state="visible" r:id="rId4"/>
    <sheet name="Сводка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<sst xmlns="http://schemas.openxmlformats.org/spreadsheetml/2006/main" count="39" uniqueCount="28">
  <si>
    <t xml:space="preserve">Температура серии, °C</t>
  </si>
  <si>
    <t xml:space="preserve">Эталонное давление, кПа</t>
  </si>
  <si>
    <t xml:space="preserve">Код давления</t>
  </si>
  <si>
    <t xml:space="preserve">Код температуры</t>
  </si>
  <si>
    <t xml:space="preserve">Давление: полиномиальная (16 + 9)</t>
  </si>
  <si>
    <t xml:space="preserve">Давление: секторная 5 × 11</t>
  </si>
  <si>
    <t xml:space="preserve">Давление: секторная 5 × 5</t>
  </si>
  <si>
    <t xml:space="preserve">|Ошибка| полиномиальная</t>
  </si>
  <si>
    <t xml:space="preserve">|Ошибка| секторная 5 × 11</t>
  </si>
  <si>
    <t xml:space="preserve">|Ошибка| секторная 5 × 5</t>
  </si>
  <si>
    <t xml:space="preserve">Температура, °C</t>
  </si>
  <si>
    <t xml:space="preserve">Тип</t>
  </si>
  <si>
    <t xml:space="preserve">Точек</t>
  </si>
  <si>
    <t xml:space="preserve">Макс. |ошибка| полиномиальная</t>
  </si>
  <si>
    <t xml:space="preserve">Макс. |ошибка| секторная 5 × 11</t>
  </si>
  <si>
    <t xml:space="preserve">Макс. |ошибка| секторная 5 × 5</t>
  </si>
  <si>
    <t xml:space="preserve">Средняя |ошибка| полиномиальная</t>
  </si>
  <si>
    <t xml:space="preserve">Средняя |ошибка| секторная 5 × 11</t>
  </si>
  <si>
    <t xml:space="preserve">Средняя |ошибка| секторная 5 × 5</t>
  </si>
  <si>
    <t xml:space="preserve">калибровочная</t>
  </si>
  <si>
    <t xml:space="preserve">промежуточная</t>
  </si>
  <si>
    <t xml:space="preserve">Все</t>
  </si>
  <si>
    <t xml:space="preserve">Источник: датчик АП 0–300 кПа абс. №00249979 (выборка 13), лист «двухфакторка», сетка 9 температур × 31 давление, исправленная версия файла.</t>
  </si>
  <si>
    <t xml:space="preserve">Калибровочные точки (лист «Калибровочные точки», 55 шт.): 5 температур × 11 давлений — по ним строились обе модели.</t>
  </si>
  <si>
    <t xml:space="preserve">Проверочные точки (224 шт.): остальные точки той же сетки, модели их не видели. Это реальные измерения, без синтетики.</t>
  </si>
  <si>
    <t xml:space="preserve">Столбцы «Давление: …» — расчёт моделей по двум кодам; совпадает с библиотекой Regression 1.3.0 (макс./средняя ошибка в пределах 0,0001).</t>
  </si>
  <si>
    <t xml:space="preserve">Столбцы «|Ошибка|» — формулы: модуль разности расчётного и эталонного давления.</t>
  </si>
  <si>
    <t xml:space="preserve">Температура — номинальная температура серии (стабильность термостата 0,02 °C).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</si>
</sst>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0"/>
    <numFmt numFmtId="167" formatCode="0"/>
    <numFmt numFmtId="168" formatCode="0.0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E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E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4"/>
    <col collapsed="false" customWidth="true" hidden="false" outlineLevel="0" max="4" min="3" style="1" width="13"/>
    <col collapsed="false" customWidth="true" hidden="false" outlineLevel="0" max="7" min="5" style="1" width="17"/>
    <col collapsed="false" customWidth="true" hidden="false" outlineLevel="0" max="10" min="8" style="1" width="15"/>
  </cols>
  <sheetData>
    <row r="1" customFormat="false" ht="4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true" outlineLevel="0" collapsed="false">
      <c r="A2" s="3" t="n">
        <v>15</v>
      </c>
      <c r="B2" s="4" t="n">
        <v>10.0027</v>
      </c>
      <c r="C2" s="5" t="n">
        <v>329642</v>
      </c>
      <c r="D2" s="5" t="n">
        <v>941275</v>
      </c>
      <c r="E2" s="6" t="n">
        <v>10.0008694434949</v>
      </c>
      <c r="F2" s="6" t="n">
        <v>10.0005775622948</v>
      </c>
      <c r="G2" s="6" t="n">
        <v>9.99991083184679</v>
      </c>
      <c r="H2" s="6" t="n">
        <f aca="false">ABS(E2-B2)</f>
        <v>0.00183055650510155</v>
      </c>
      <c r="I2" s="6" t="n">
        <f aca="false">ABS(F2-B2)</f>
        <v>0.00212243770520004</v>
      </c>
      <c r="J2" s="6" t="n">
        <f aca="false">ABS(G2-B2)</f>
        <v>0.0027891681532104</v>
      </c>
    </row>
    <row r="3" customFormat="false" ht="15" hidden="false" customHeight="true" outlineLevel="0" collapsed="false">
      <c r="A3" s="3" t="n">
        <v>15</v>
      </c>
      <c r="B3" s="4" t="n">
        <v>20.0033</v>
      </c>
      <c r="C3" s="5" t="n">
        <v>509320</v>
      </c>
      <c r="D3" s="5" t="n">
        <v>941601</v>
      </c>
      <c r="E3" s="6" t="n">
        <v>20.0027672311591</v>
      </c>
      <c r="F3" s="6" t="n">
        <v>20.0023329802152</v>
      </c>
      <c r="G3" s="6" t="n">
        <v>20.0012070544795</v>
      </c>
      <c r="H3" s="6" t="n">
        <f aca="false">ABS(E3-B3)</f>
        <v>0.000532768840898257</v>
      </c>
      <c r="I3" s="6" t="n">
        <f aca="false">ABS(F3-B3)</f>
        <v>0.00096701978479885</v>
      </c>
      <c r="J3" s="6" t="n">
        <f aca="false">ABS(G3-B3)</f>
        <v>0.00209294552049855</v>
      </c>
    </row>
    <row r="4" customFormat="false" ht="15" hidden="false" customHeight="true" outlineLevel="0" collapsed="false">
      <c r="A4" s="3" t="n">
        <v>15</v>
      </c>
      <c r="B4" s="4" t="n">
        <v>40.0042</v>
      </c>
      <c r="C4" s="5" t="n">
        <v>868573</v>
      </c>
      <c r="D4" s="5" t="n">
        <v>942234</v>
      </c>
      <c r="E4" s="6" t="n">
        <v>40.0048607988371</v>
      </c>
      <c r="F4" s="6" t="n">
        <v>40.0052170094087</v>
      </c>
      <c r="G4" s="6" t="n">
        <v>40.0040618229136</v>
      </c>
      <c r="H4" s="6" t="n">
        <f aca="false">ABS(E4-B4)</f>
        <v>0.000660798837103016</v>
      </c>
      <c r="I4" s="6" t="n">
        <f aca="false">ABS(F4-B4)</f>
        <v>0.00101700940870586</v>
      </c>
      <c r="J4" s="6" t="n">
        <f aca="false">ABS(G4-B4)</f>
        <v>0.000138177086398628</v>
      </c>
    </row>
    <row r="5" customFormat="false" ht="15" hidden="false" customHeight="true" outlineLevel="0" collapsed="false">
      <c r="A5" s="3" t="n">
        <v>15</v>
      </c>
      <c r="B5" s="4" t="n">
        <v>50.0047</v>
      </c>
      <c r="C5" s="5" t="n">
        <v>1048131</v>
      </c>
      <c r="D5" s="5" t="n">
        <v>942545</v>
      </c>
      <c r="E5" s="6" t="n">
        <v>50.0045182233088</v>
      </c>
      <c r="F5" s="6" t="n">
        <v>50.0054324812914</v>
      </c>
      <c r="G5" s="6" t="n">
        <v>50.0047079651771</v>
      </c>
      <c r="H5" s="6" t="n">
        <f aca="false">ABS(E5-B5)</f>
        <v>0.000181776691199786</v>
      </c>
      <c r="I5" s="6" t="n">
        <f aca="false">ABS(F5-B5)</f>
        <v>0.000732481291400688</v>
      </c>
      <c r="J5" s="6" t="n">
        <f aca="false">ABS(G5-B5)</f>
        <v>7.96517709744649E-006</v>
      </c>
    </row>
    <row r="6" customFormat="false" ht="15" hidden="false" customHeight="true" outlineLevel="0" collapsed="false">
      <c r="A6" s="3" t="n">
        <v>15</v>
      </c>
      <c r="B6" s="4" t="n">
        <v>70.0035</v>
      </c>
      <c r="C6" s="5" t="n">
        <v>1407120</v>
      </c>
      <c r="D6" s="5" t="n">
        <v>943153</v>
      </c>
      <c r="E6" s="6" t="n">
        <v>70.002610909142</v>
      </c>
      <c r="F6" s="6" t="n">
        <v>70.0022091681162</v>
      </c>
      <c r="G6" s="6" t="n">
        <v>70.0050597704005</v>
      </c>
      <c r="H6" s="6" t="n">
        <f aca="false">ABS(E6-B6)</f>
        <v>0.000889090857995711</v>
      </c>
      <c r="I6" s="6" t="n">
        <f aca="false">ABS(F6-B6)</f>
        <v>0.00129083188380719</v>
      </c>
      <c r="J6" s="6" t="n">
        <f aca="false">ABS(G6-B6)</f>
        <v>0.00155977040050459</v>
      </c>
    </row>
    <row r="7" customFormat="false" ht="15" hidden="false" customHeight="true" outlineLevel="0" collapsed="false">
      <c r="A7" s="3" t="n">
        <v>15</v>
      </c>
      <c r="B7" s="4" t="n">
        <v>80.0037</v>
      </c>
      <c r="C7" s="5" t="n">
        <v>1586590</v>
      </c>
      <c r="D7" s="5" t="n">
        <v>943456</v>
      </c>
      <c r="E7" s="6" t="n">
        <v>80.0032921991942</v>
      </c>
      <c r="F7" s="6" t="n">
        <v>80.0020859187624</v>
      </c>
      <c r="G7" s="6" t="n">
        <v>80.0066479780509</v>
      </c>
      <c r="H7" s="6" t="n">
        <f aca="false">ABS(E7-B7)</f>
        <v>0.000407800805788838</v>
      </c>
      <c r="I7" s="6" t="n">
        <f aca="false">ABS(F7-B7)</f>
        <v>0.00161408123759088</v>
      </c>
      <c r="J7" s="6" t="n">
        <f aca="false">ABS(G7-B7)</f>
        <v>0.00294797805091207</v>
      </c>
    </row>
    <row r="8" customFormat="false" ht="15" hidden="false" customHeight="true" outlineLevel="0" collapsed="false">
      <c r="A8" s="3" t="n">
        <v>15</v>
      </c>
      <c r="B8" s="4" t="n">
        <v>100.004</v>
      </c>
      <c r="C8" s="5" t="n">
        <v>1945375</v>
      </c>
      <c r="D8" s="5" t="n">
        <v>944053</v>
      </c>
      <c r="E8" s="6" t="n">
        <v>100.002935283231</v>
      </c>
      <c r="F8" s="6" t="n">
        <v>100.002180765897</v>
      </c>
      <c r="G8" s="6" t="n">
        <v>100.006745189065</v>
      </c>
      <c r="H8" s="6" t="n">
        <f aca="false">ABS(E8-B8)</f>
        <v>0.0010647167690081</v>
      </c>
      <c r="I8" s="6" t="n">
        <f aca="false">ABS(F8-B8)</f>
        <v>0.0018192341030101</v>
      </c>
      <c r="J8" s="6" t="n">
        <f aca="false">ABS(G8-B8)</f>
        <v>0.00274518906499566</v>
      </c>
    </row>
    <row r="9" customFormat="false" ht="15" hidden="false" customHeight="true" outlineLevel="0" collapsed="false">
      <c r="A9" s="3" t="n">
        <v>15</v>
      </c>
      <c r="B9" s="4" t="n">
        <v>110.0037</v>
      </c>
      <c r="C9" s="5" t="n">
        <v>2124683</v>
      </c>
      <c r="D9" s="5" t="n">
        <v>944347</v>
      </c>
      <c r="E9" s="6" t="n">
        <v>110.001797371476</v>
      </c>
      <c r="F9" s="6" t="n">
        <v>110.001944426757</v>
      </c>
      <c r="G9" s="6" t="n">
        <v>110.004798092439</v>
      </c>
      <c r="H9" s="6" t="n">
        <f aca="false">ABS(E9-B9)</f>
        <v>0.00190262852399314</v>
      </c>
      <c r="I9" s="6" t="n">
        <f aca="false">ABS(F9-B9)</f>
        <v>0.00175557324298836</v>
      </c>
      <c r="J9" s="6" t="n">
        <f aca="false">ABS(G9-B9)</f>
        <v>0.00109809243900827</v>
      </c>
    </row>
    <row r="10" customFormat="false" ht="15" hidden="false" customHeight="true" outlineLevel="0" collapsed="false">
      <c r="A10" s="3" t="n">
        <v>15</v>
      </c>
      <c r="B10" s="4" t="n">
        <v>130.0045</v>
      </c>
      <c r="C10" s="5" t="n">
        <v>2483290</v>
      </c>
      <c r="D10" s="5" t="n">
        <v>944919</v>
      </c>
      <c r="E10" s="6" t="n">
        <v>130.008003498636</v>
      </c>
      <c r="F10" s="6" t="n">
        <v>130.006910008757</v>
      </c>
      <c r="G10" s="6" t="n">
        <v>130.006333923285</v>
      </c>
      <c r="H10" s="6" t="n">
        <f aca="false">ABS(E10-B10)</f>
        <v>0.00350349863597899</v>
      </c>
      <c r="I10" s="6" t="n">
        <f aca="false">ABS(F10-B10)</f>
        <v>0.00241000875698205</v>
      </c>
      <c r="J10" s="6" t="n">
        <f aca="false">ABS(G10-B10)</f>
        <v>0.00183392328500531</v>
      </c>
    </row>
    <row r="11" customFormat="false" ht="15" hidden="false" customHeight="true" outlineLevel="0" collapsed="false">
      <c r="A11" s="3" t="n">
        <v>15</v>
      </c>
      <c r="B11" s="4" t="n">
        <v>140.005</v>
      </c>
      <c r="C11" s="5" t="n">
        <v>2662442</v>
      </c>
      <c r="D11" s="5" t="n">
        <v>945200</v>
      </c>
      <c r="E11" s="6" t="n">
        <v>140.007200104304</v>
      </c>
      <c r="F11" s="6" t="n">
        <v>140.004911032923</v>
      </c>
      <c r="G11" s="6" t="n">
        <v>140.003726384436</v>
      </c>
      <c r="H11" s="6" t="n">
        <f aca="false">ABS(E11-B11)</f>
        <v>0.00220010430399498</v>
      </c>
      <c r="I11" s="6" t="n">
        <f aca="false">ABS(F11-B11)</f>
        <v>8.89670770050088E-005</v>
      </c>
      <c r="J11" s="6" t="n">
        <f aca="false">ABS(G11-B11)</f>
        <v>0.00127361556400274</v>
      </c>
    </row>
    <row r="12" customFormat="false" ht="15" hidden="false" customHeight="true" outlineLevel="0" collapsed="false">
      <c r="A12" s="3" t="n">
        <v>15</v>
      </c>
      <c r="B12" s="4" t="n">
        <v>160.0063</v>
      </c>
      <c r="C12" s="5" t="n">
        <v>3020583</v>
      </c>
      <c r="D12" s="5" t="n">
        <v>945748</v>
      </c>
      <c r="E12" s="6" t="n">
        <v>160.006878729748</v>
      </c>
      <c r="F12" s="6" t="n">
        <v>160.005042877886</v>
      </c>
      <c r="G12" s="6" t="n">
        <v>160.00253908699</v>
      </c>
      <c r="H12" s="6" t="n">
        <f aca="false">ABS(E12-B12)</f>
        <v>0.000578729747985562</v>
      </c>
      <c r="I12" s="6" t="n">
        <f aca="false">ABS(F12-B12)</f>
        <v>0.00125712211399787</v>
      </c>
      <c r="J12" s="6" t="n">
        <f aca="false">ABS(G12-B12)</f>
        <v>0.00376091301001225</v>
      </c>
    </row>
    <row r="13" customFormat="false" ht="15" hidden="false" customHeight="true" outlineLevel="0" collapsed="false">
      <c r="A13" s="3" t="n">
        <v>15</v>
      </c>
      <c r="B13" s="4" t="n">
        <v>170.0065</v>
      </c>
      <c r="C13" s="5" t="n">
        <v>3199573</v>
      </c>
      <c r="D13" s="5" t="n">
        <v>946017</v>
      </c>
      <c r="E13" s="6" t="n">
        <v>170.007496792954</v>
      </c>
      <c r="F13" s="6" t="n">
        <v>170.006996032883</v>
      </c>
      <c r="G13" s="6" t="n">
        <v>170.003783688164</v>
      </c>
      <c r="H13" s="6" t="n">
        <f aca="false">ABS(E13-B13)</f>
        <v>0.000996792953998238</v>
      </c>
      <c r="I13" s="6" t="n">
        <f aca="false">ABS(F13-B13)</f>
        <v>0.000496032883006592</v>
      </c>
      <c r="J13" s="6" t="n">
        <f aca="false">ABS(G13-B13)</f>
        <v>0.00271631183599652</v>
      </c>
    </row>
    <row r="14" customFormat="false" ht="15" hidden="false" customHeight="true" outlineLevel="0" collapsed="false">
      <c r="A14" s="3" t="n">
        <v>15</v>
      </c>
      <c r="B14" s="4" t="n">
        <v>190.0078</v>
      </c>
      <c r="C14" s="5" t="n">
        <v>3557300</v>
      </c>
      <c r="D14" s="5" t="n">
        <v>946545</v>
      </c>
      <c r="E14" s="6" t="n">
        <v>190.005830955926</v>
      </c>
      <c r="F14" s="6" t="n">
        <v>190.007885926002</v>
      </c>
      <c r="G14" s="6" t="n">
        <v>190.004732974046</v>
      </c>
      <c r="H14" s="6" t="n">
        <f aca="false">ABS(E14-B14)</f>
        <v>0.00196904407400211</v>
      </c>
      <c r="I14" s="6" t="n">
        <f aca="false">ABS(F14-B14)</f>
        <v>8.5926001986536E-005</v>
      </c>
      <c r="J14" s="6" t="n">
        <f aca="false">ABS(G14-B14)</f>
        <v>0.00306702595401021</v>
      </c>
    </row>
    <row r="15" customFormat="false" ht="15" hidden="false" customHeight="true" outlineLevel="0" collapsed="false">
      <c r="A15" s="3" t="n">
        <v>15</v>
      </c>
      <c r="B15" s="4" t="n">
        <v>200.0084</v>
      </c>
      <c r="C15" s="5" t="n">
        <v>3736070</v>
      </c>
      <c r="D15" s="5" t="n">
        <v>946800</v>
      </c>
      <c r="E15" s="6" t="n">
        <v>200.006360764434</v>
      </c>
      <c r="F15" s="6" t="n">
        <v>200.008792545</v>
      </c>
      <c r="G15" s="6" t="n">
        <v>200.006957108382</v>
      </c>
      <c r="H15" s="6" t="n">
        <f aca="false">ABS(E15-B15)</f>
        <v>0.00203923556600216</v>
      </c>
      <c r="I15" s="6" t="n">
        <f aca="false">ABS(F15-B15)</f>
        <v>0.000392545000011069</v>
      </c>
      <c r="J15" s="6" t="n">
        <f aca="false">ABS(G15-B15)</f>
        <v>0.00144289161798383</v>
      </c>
    </row>
    <row r="16" customFormat="false" ht="15" hidden="false" customHeight="true" outlineLevel="0" collapsed="false">
      <c r="A16" s="3" t="n">
        <v>15</v>
      </c>
      <c r="B16" s="4" t="n">
        <v>220.0078</v>
      </c>
      <c r="C16" s="5" t="n">
        <v>4093363</v>
      </c>
      <c r="D16" s="5" t="n">
        <v>947300</v>
      </c>
      <c r="E16" s="6" t="n">
        <v>220.006295485681</v>
      </c>
      <c r="F16" s="6" t="n">
        <v>220.008006143614</v>
      </c>
      <c r="G16" s="6" t="n">
        <v>220.010360748212</v>
      </c>
      <c r="H16" s="6" t="n">
        <f aca="false">ABS(E16-B16)</f>
        <v>0.00150451431900933</v>
      </c>
      <c r="I16" s="6" t="n">
        <f aca="false">ABS(F16-B16)</f>
        <v>0.00020614361400817</v>
      </c>
      <c r="J16" s="6" t="n">
        <f aca="false">ABS(G16-B16)</f>
        <v>0.00256074821200514</v>
      </c>
    </row>
    <row r="17" customFormat="false" ht="15" hidden="false" customHeight="true" outlineLevel="0" collapsed="false">
      <c r="A17" s="3" t="n">
        <v>15</v>
      </c>
      <c r="B17" s="4" t="n">
        <v>230.0086</v>
      </c>
      <c r="C17" s="5" t="n">
        <v>4271972</v>
      </c>
      <c r="D17" s="5" t="n">
        <v>947544</v>
      </c>
      <c r="E17" s="6" t="n">
        <v>230.011001149083</v>
      </c>
      <c r="F17" s="6" t="n">
        <v>230.011343262879</v>
      </c>
      <c r="G17" s="6" t="n">
        <v>230.016573038667</v>
      </c>
      <c r="H17" s="6" t="n">
        <f aca="false">ABS(E17-B17)</f>
        <v>0.00240114908299915</v>
      </c>
      <c r="I17" s="6" t="n">
        <f aca="false">ABS(F17-B17)</f>
        <v>0.00274326287899385</v>
      </c>
      <c r="J17" s="6" t="n">
        <f aca="false">ABS(G17-B17)</f>
        <v>0.0079730386669894</v>
      </c>
    </row>
    <row r="18" customFormat="false" ht="15" hidden="false" customHeight="true" outlineLevel="0" collapsed="false">
      <c r="A18" s="3" t="n">
        <v>15</v>
      </c>
      <c r="B18" s="4" t="n">
        <v>250.009</v>
      </c>
      <c r="C18" s="5" t="n">
        <v>4628777</v>
      </c>
      <c r="D18" s="5" t="n">
        <v>948025</v>
      </c>
      <c r="E18" s="6" t="n">
        <v>250.010491148279</v>
      </c>
      <c r="F18" s="6" t="n">
        <v>250.008377166094</v>
      </c>
      <c r="G18" s="6" t="n">
        <v>250.01245998889</v>
      </c>
      <c r="H18" s="6" t="n">
        <f aca="false">ABS(E18-B18)</f>
        <v>0.00149114827900121</v>
      </c>
      <c r="I18" s="6" t="n">
        <f aca="false">ABS(F18-B18)</f>
        <v>0.000622833905993048</v>
      </c>
      <c r="J18" s="6" t="n">
        <f aca="false">ABS(G18-B18)</f>
        <v>0.00345998889000043</v>
      </c>
    </row>
    <row r="19" customFormat="false" ht="15" hidden="false" customHeight="true" outlineLevel="0" collapsed="false">
      <c r="A19" s="3" t="n">
        <v>15</v>
      </c>
      <c r="B19" s="4" t="n">
        <v>260.0086</v>
      </c>
      <c r="C19" s="5" t="n">
        <v>4807020</v>
      </c>
      <c r="D19" s="5" t="n">
        <v>948256</v>
      </c>
      <c r="E19" s="6" t="n">
        <v>260.009479811055</v>
      </c>
      <c r="F19" s="6" t="n">
        <v>260.007521280863</v>
      </c>
      <c r="G19" s="6" t="n">
        <v>260.0131891365</v>
      </c>
      <c r="H19" s="6" t="n">
        <f aca="false">ABS(E19-B19)</f>
        <v>0.000879811054971924</v>
      </c>
      <c r="I19" s="6" t="n">
        <f aca="false">ABS(F19-B19)</f>
        <v>0.00107871913701274</v>
      </c>
      <c r="J19" s="6" t="n">
        <f aca="false">ABS(G19-B19)</f>
        <v>0.00458913649998749</v>
      </c>
    </row>
    <row r="20" customFormat="false" ht="15" hidden="false" customHeight="true" outlineLevel="0" collapsed="false">
      <c r="A20" s="3" t="n">
        <v>15</v>
      </c>
      <c r="B20" s="4" t="n">
        <v>280.0124</v>
      </c>
      <c r="C20" s="5" t="n">
        <v>5163271</v>
      </c>
      <c r="D20" s="5" t="n">
        <v>948710</v>
      </c>
      <c r="E20" s="6" t="n">
        <v>280.008967453059</v>
      </c>
      <c r="F20" s="6" t="n">
        <v>280.008045072535</v>
      </c>
      <c r="G20" s="6" t="n">
        <v>280.013282956298</v>
      </c>
      <c r="H20" s="6" t="n">
        <f aca="false">ABS(E20-B20)</f>
        <v>0.00343254694104189</v>
      </c>
      <c r="I20" s="6" t="n">
        <f aca="false">ABS(F20-B20)</f>
        <v>0.00435492746498767</v>
      </c>
      <c r="J20" s="6" t="n">
        <f aca="false">ABS(G20-B20)</f>
        <v>0.000882956297971305</v>
      </c>
    </row>
    <row r="21" customFormat="false" ht="15" hidden="false" customHeight="true" outlineLevel="0" collapsed="false">
      <c r="A21" s="3" t="n">
        <v>15</v>
      </c>
      <c r="B21" s="4" t="n">
        <v>290.0116</v>
      </c>
      <c r="C21" s="5" t="n">
        <v>5341220</v>
      </c>
      <c r="D21" s="5" t="n">
        <v>948927</v>
      </c>
      <c r="E21" s="6" t="n">
        <v>290.007875721816</v>
      </c>
      <c r="F21" s="6" t="n">
        <v>290.007620498391</v>
      </c>
      <c r="G21" s="6" t="n">
        <v>290.010842531848</v>
      </c>
      <c r="H21" s="6" t="n">
        <f aca="false">ABS(E21-B21)</f>
        <v>0.00372427818399501</v>
      </c>
      <c r="I21" s="6" t="n">
        <f aca="false">ABS(F21-B21)</f>
        <v>0.00397950160896698</v>
      </c>
      <c r="J21" s="6" t="n">
        <f aca="false">ABS(G21-B21)</f>
        <v>0.000757468151959984</v>
      </c>
    </row>
    <row r="22" customFormat="false" ht="15" hidden="false" customHeight="true" outlineLevel="0" collapsed="false">
      <c r="A22" s="3" t="n">
        <v>16.5</v>
      </c>
      <c r="B22" s="4" t="n">
        <v>1.0026</v>
      </c>
      <c r="C22" s="5" t="n">
        <v>169402</v>
      </c>
      <c r="D22" s="5" t="n">
        <v>937651</v>
      </c>
      <c r="E22" s="6" t="n">
        <v>1.00341318530358</v>
      </c>
      <c r="F22" s="6" t="n">
        <v>1.0023943688308</v>
      </c>
      <c r="G22" s="6" t="n">
        <v>1.00239439195226</v>
      </c>
      <c r="H22" s="6" t="n">
        <f aca="false">ABS(E22-B22)</f>
        <v>0.000813185303579989</v>
      </c>
      <c r="I22" s="6" t="n">
        <f aca="false">ABS(F22-B22)</f>
        <v>0.000205631169200027</v>
      </c>
      <c r="J22" s="6" t="n">
        <f aca="false">ABS(G22-B22)</f>
        <v>0.000205608047739947</v>
      </c>
    </row>
    <row r="23" customFormat="false" ht="15" hidden="false" customHeight="true" outlineLevel="0" collapsed="false">
      <c r="A23" s="3" t="n">
        <v>16.5</v>
      </c>
      <c r="B23" s="4" t="n">
        <v>10.0027</v>
      </c>
      <c r="C23" s="5" t="n">
        <v>330510</v>
      </c>
      <c r="D23" s="5" t="n">
        <v>937927</v>
      </c>
      <c r="E23" s="6" t="n">
        <v>10.000530175672</v>
      </c>
      <c r="F23" s="6" t="n">
        <v>9.99885398931134</v>
      </c>
      <c r="G23" s="6" t="n">
        <v>9.99796154419728</v>
      </c>
      <c r="H23" s="6" t="n">
        <f aca="false">ABS(E23-B23)</f>
        <v>0.00216982432799995</v>
      </c>
      <c r="I23" s="6" t="n">
        <f aca="false">ABS(F23-B23)</f>
        <v>0.00384601068865997</v>
      </c>
      <c r="J23" s="6" t="n">
        <f aca="false">ABS(G23-B23)</f>
        <v>0.00473845580272148</v>
      </c>
    </row>
    <row r="24" customFormat="false" ht="15" hidden="false" customHeight="true" outlineLevel="0" collapsed="false">
      <c r="A24" s="3" t="n">
        <v>16.5</v>
      </c>
      <c r="B24" s="4" t="n">
        <v>20.0033</v>
      </c>
      <c r="C24" s="5" t="n">
        <v>509584</v>
      </c>
      <c r="D24" s="5" t="n">
        <v>938256</v>
      </c>
      <c r="E24" s="6" t="n">
        <v>20.0024212563234</v>
      </c>
      <c r="F24" s="6" t="n">
        <v>20.0006678142523</v>
      </c>
      <c r="G24" s="6" t="n">
        <v>19.999066599569</v>
      </c>
      <c r="H24" s="6" t="n">
        <f aca="false">ABS(E24-B24)</f>
        <v>0.000878743676597793</v>
      </c>
      <c r="I24" s="6" t="n">
        <f aca="false">ABS(F24-B24)</f>
        <v>0.00263218574770008</v>
      </c>
      <c r="J24" s="6" t="n">
        <f aca="false">ABS(G24-B24)</f>
        <v>0.00423340043099785</v>
      </c>
    </row>
    <row r="25" customFormat="false" ht="15" hidden="false" customHeight="true" outlineLevel="0" collapsed="false">
      <c r="A25" s="3" t="n">
        <v>16.5</v>
      </c>
      <c r="B25" s="4" t="n">
        <v>30.004</v>
      </c>
      <c r="C25" s="5" t="n">
        <v>688640</v>
      </c>
      <c r="D25" s="5" t="n">
        <v>938583</v>
      </c>
      <c r="E25" s="6" t="n">
        <v>30.0043690222186</v>
      </c>
      <c r="F25" s="6" t="n">
        <v>30.003043765095</v>
      </c>
      <c r="G25" s="6" t="n">
        <v>30.0010327610831</v>
      </c>
      <c r="H25" s="6" t="n">
        <f aca="false">ABS(E25-B25)</f>
        <v>0.000369022218599469</v>
      </c>
      <c r="I25" s="6" t="n">
        <f aca="false">ABS(F25-B25)</f>
        <v>0.000956234905000741</v>
      </c>
      <c r="J25" s="6" t="n">
        <f aca="false">ABS(G25-B25)</f>
        <v>0.0029672389169022</v>
      </c>
    </row>
    <row r="26" customFormat="false" ht="15" hidden="false" customHeight="true" outlineLevel="0" collapsed="false">
      <c r="A26" s="3" t="n">
        <v>16.5</v>
      </c>
      <c r="B26" s="4" t="n">
        <v>40.0042</v>
      </c>
      <c r="C26" s="5" t="n">
        <v>867648</v>
      </c>
      <c r="D26" s="5" t="n">
        <v>938905</v>
      </c>
      <c r="E26" s="6" t="n">
        <v>40.0048695936469</v>
      </c>
      <c r="F26" s="6" t="n">
        <v>40.0042953537534</v>
      </c>
      <c r="G26" s="6" t="n">
        <v>40.0021733167033</v>
      </c>
      <c r="H26" s="6" t="n">
        <f aca="false">ABS(E26-B26)</f>
        <v>0.000669593646904332</v>
      </c>
      <c r="I26" s="6" t="n">
        <f aca="false">ABS(F26-B26)</f>
        <v>9.53537534016391E-005</v>
      </c>
      <c r="J26" s="6" t="n">
        <f aca="false">ABS(G26-B26)</f>
        <v>0.0020266832966982</v>
      </c>
    </row>
    <row r="27" customFormat="false" ht="15" hidden="false" customHeight="true" outlineLevel="0" collapsed="false">
      <c r="A27" s="3" t="n">
        <v>16.5</v>
      </c>
      <c r="B27" s="4" t="n">
        <v>50.0047</v>
      </c>
      <c r="C27" s="5" t="n">
        <v>1046612</v>
      </c>
      <c r="D27" s="5" t="n">
        <v>939220</v>
      </c>
      <c r="E27" s="6" t="n">
        <v>50.004410576692</v>
      </c>
      <c r="F27" s="6" t="n">
        <v>50.0044603293974</v>
      </c>
      <c r="G27" s="6" t="n">
        <v>50.0027933706486</v>
      </c>
      <c r="H27" s="6" t="n">
        <f aca="false">ABS(E27-B27)</f>
        <v>0.000289423307997083</v>
      </c>
      <c r="I27" s="6" t="n">
        <f aca="false">ABS(F27-B27)</f>
        <v>0.00023967060259622</v>
      </c>
      <c r="J27" s="6" t="n">
        <f aca="false">ABS(G27-B27)</f>
        <v>0.00190662935140296</v>
      </c>
    </row>
    <row r="28" customFormat="false" ht="15" hidden="false" customHeight="true" outlineLevel="0" collapsed="false">
      <c r="A28" s="3" t="n">
        <v>16.5</v>
      </c>
      <c r="B28" s="4" t="n">
        <v>60.0036</v>
      </c>
      <c r="C28" s="5" t="n">
        <v>1225518</v>
      </c>
      <c r="D28" s="5" t="n">
        <v>939529</v>
      </c>
      <c r="E28" s="6" t="n">
        <v>60.0024448328828</v>
      </c>
      <c r="F28" s="6" t="n">
        <v>60.0026135337541</v>
      </c>
      <c r="G28" s="6" t="n">
        <v>60.0021646673381</v>
      </c>
      <c r="H28" s="6" t="n">
        <f aca="false">ABS(E28-B28)</f>
        <v>0.00115516711719721</v>
      </c>
      <c r="I28" s="6" t="n">
        <f aca="false">ABS(F28-B28)</f>
        <v>0.000986466245898043</v>
      </c>
      <c r="J28" s="6" t="n">
        <f aca="false">ABS(G28-B28)</f>
        <v>0.00143533266189877</v>
      </c>
    </row>
    <row r="29" customFormat="false" ht="15" hidden="false" customHeight="true" outlineLevel="0" collapsed="false">
      <c r="A29" s="3" t="n">
        <v>16.5</v>
      </c>
      <c r="B29" s="4" t="n">
        <v>70.0035</v>
      </c>
      <c r="C29" s="5" t="n">
        <v>1404442</v>
      </c>
      <c r="D29" s="5" t="n">
        <v>939838</v>
      </c>
      <c r="E29" s="6" t="n">
        <v>70.0031941570163</v>
      </c>
      <c r="F29" s="6" t="n">
        <v>70.0017262877739</v>
      </c>
      <c r="G29" s="6" t="n">
        <v>70.0043293594924</v>
      </c>
      <c r="H29" s="6" t="n">
        <f aca="false">ABS(E29-B29)</f>
        <v>0.000305842983706839</v>
      </c>
      <c r="I29" s="6" t="n">
        <f aca="false">ABS(F29-B29)</f>
        <v>0.00177371222609679</v>
      </c>
      <c r="J29" s="6" t="n">
        <f aca="false">ABS(G29-B29)</f>
        <v>0.000829359492399817</v>
      </c>
    </row>
    <row r="30" customFormat="false" ht="15" hidden="false" customHeight="true" outlineLevel="0" collapsed="false">
      <c r="A30" s="3" t="n">
        <v>16.5</v>
      </c>
      <c r="B30" s="4" t="n">
        <v>80.0037</v>
      </c>
      <c r="C30" s="5" t="n">
        <v>1583330</v>
      </c>
      <c r="D30" s="5" t="n">
        <v>940144</v>
      </c>
      <c r="E30" s="6" t="n">
        <v>80.0038658442522</v>
      </c>
      <c r="F30" s="6" t="n">
        <v>80.0018006672256</v>
      </c>
      <c r="G30" s="6" t="n">
        <v>80.0063126988447</v>
      </c>
      <c r="H30" s="6" t="n">
        <f aca="false">ABS(E30-B30)</f>
        <v>0.000165844252208558</v>
      </c>
      <c r="I30" s="6" t="n">
        <f aca="false">ABS(F30-B30)</f>
        <v>0.00189933277439991</v>
      </c>
      <c r="J30" s="6" t="n">
        <f aca="false">ABS(G30-B30)</f>
        <v>0.00261269884470039</v>
      </c>
    </row>
    <row r="31" customFormat="false" ht="15" hidden="false" customHeight="true" outlineLevel="0" collapsed="false">
      <c r="A31" s="3" t="n">
        <v>16.5</v>
      </c>
      <c r="B31" s="4" t="n">
        <v>90.0034</v>
      </c>
      <c r="C31" s="5" t="n">
        <v>1762162</v>
      </c>
      <c r="D31" s="5" t="n">
        <v>940446</v>
      </c>
      <c r="E31" s="6" t="n">
        <v>90.0035539604348</v>
      </c>
      <c r="F31" s="6" t="n">
        <v>90.0017519187544</v>
      </c>
      <c r="G31" s="6" t="n">
        <v>90.0070041871804</v>
      </c>
      <c r="H31" s="6" t="n">
        <f aca="false">ABS(E31-B31)</f>
        <v>0.000153960434801093</v>
      </c>
      <c r="I31" s="6" t="n">
        <f aca="false">ABS(F31-B31)</f>
        <v>0.00164808124560523</v>
      </c>
      <c r="J31" s="6" t="n">
        <f aca="false">ABS(G31-B31)</f>
        <v>0.00360418718040023</v>
      </c>
    </row>
    <row r="32" customFormat="false" ht="15" hidden="false" customHeight="true" outlineLevel="0" collapsed="false">
      <c r="A32" s="3" t="n">
        <v>16.5</v>
      </c>
      <c r="B32" s="4" t="n">
        <v>100.004</v>
      </c>
      <c r="C32" s="5" t="n">
        <v>1940967</v>
      </c>
      <c r="D32" s="5" t="n">
        <v>940744</v>
      </c>
      <c r="E32" s="6" t="n">
        <v>100.004060601809</v>
      </c>
      <c r="F32" s="6" t="n">
        <v>100.003204555084</v>
      </c>
      <c r="G32" s="6" t="n">
        <v>100.007520458024</v>
      </c>
      <c r="H32" s="6" t="n">
        <f aca="false">ABS(E32-B32)</f>
        <v>6.06018089968075E-005</v>
      </c>
      <c r="I32" s="6" t="n">
        <f aca="false">ABS(F32-B32)</f>
        <v>0.000795444916008137</v>
      </c>
      <c r="J32" s="6" t="n">
        <f aca="false">ABS(G32-B32)</f>
        <v>0.00352045802399914</v>
      </c>
    </row>
    <row r="33" customFormat="false" ht="15" hidden="false" customHeight="true" outlineLevel="0" collapsed="false">
      <c r="A33" s="3" t="n">
        <v>16.5</v>
      </c>
      <c r="B33" s="4" t="n">
        <v>110.0037</v>
      </c>
      <c r="C33" s="5" t="n">
        <v>2119737</v>
      </c>
      <c r="D33" s="5" t="n">
        <v>941028</v>
      </c>
      <c r="E33" s="6" t="n">
        <v>110.00596026681</v>
      </c>
      <c r="F33" s="6" t="n">
        <v>110.005900511495</v>
      </c>
      <c r="G33" s="6" t="n">
        <v>110.008293867637</v>
      </c>
      <c r="H33" s="6" t="n">
        <f aca="false">ABS(E33-B33)</f>
        <v>0.00226026681001201</v>
      </c>
      <c r="I33" s="6" t="n">
        <f aca="false">ABS(F33-B33)</f>
        <v>0.00220051149500478</v>
      </c>
      <c r="J33" s="6" t="n">
        <f aca="false">ABS(G33-B33)</f>
        <v>0.00459386763699854</v>
      </c>
    </row>
    <row r="34" customFormat="false" ht="15" hidden="false" customHeight="true" outlineLevel="0" collapsed="false">
      <c r="A34" s="3" t="n">
        <v>16.5</v>
      </c>
      <c r="B34" s="4" t="n">
        <v>120.0037</v>
      </c>
      <c r="C34" s="5" t="n">
        <v>2298413</v>
      </c>
      <c r="D34" s="5" t="n">
        <v>941326</v>
      </c>
      <c r="E34" s="6" t="n">
        <v>120.003768755322</v>
      </c>
      <c r="F34" s="6" t="n">
        <v>120.00367341319</v>
      </c>
      <c r="G34" s="6" t="n">
        <v>120.003673418081</v>
      </c>
      <c r="H34" s="6" t="n">
        <f aca="false">ABS(E34-B34)</f>
        <v>6.87553220046766E-005</v>
      </c>
      <c r="I34" s="6" t="n">
        <f aca="false">ABS(F34-B34)</f>
        <v>2.65868099944555E-005</v>
      </c>
      <c r="J34" s="6" t="n">
        <f aca="false">ABS(G34-B34)</f>
        <v>2.65819190019556E-005</v>
      </c>
    </row>
    <row r="35" customFormat="false" ht="15" hidden="false" customHeight="true" outlineLevel="0" collapsed="false">
      <c r="A35" s="3" t="n">
        <v>16.5</v>
      </c>
      <c r="B35" s="4" t="n">
        <v>130.0045</v>
      </c>
      <c r="C35" s="5" t="n">
        <v>2477101</v>
      </c>
      <c r="D35" s="5" t="n">
        <v>941607</v>
      </c>
      <c r="E35" s="6" t="n">
        <v>130.006306302039</v>
      </c>
      <c r="F35" s="6" t="n">
        <v>130.004685932796</v>
      </c>
      <c r="G35" s="6" t="n">
        <v>130.002827666576</v>
      </c>
      <c r="H35" s="6" t="n">
        <f aca="false">ABS(E35-B35)</f>
        <v>0.00180630203900023</v>
      </c>
      <c r="I35" s="6" t="n">
        <f aca="false">ABS(F35-B35)</f>
        <v>0.000185932796000543</v>
      </c>
      <c r="J35" s="6" t="n">
        <f aca="false">ABS(G35-B35)</f>
        <v>0.00167233342401119</v>
      </c>
    </row>
    <row r="36" customFormat="false" ht="15" hidden="false" customHeight="true" outlineLevel="0" collapsed="false">
      <c r="A36" s="3" t="n">
        <v>16.5</v>
      </c>
      <c r="B36" s="4" t="n">
        <v>140.005</v>
      </c>
      <c r="C36" s="5" t="n">
        <v>2655663</v>
      </c>
      <c r="D36" s="5" t="n">
        <v>941889</v>
      </c>
      <c r="E36" s="6" t="n">
        <v>140.004328027411</v>
      </c>
      <c r="F36" s="6" t="n">
        <v>140.002458796111</v>
      </c>
      <c r="G36" s="6" t="n">
        <v>139.998710119767</v>
      </c>
      <c r="H36" s="6" t="n">
        <f aca="false">ABS(E36-B36)</f>
        <v>0.000671972589003644</v>
      </c>
      <c r="I36" s="6" t="n">
        <f aca="false">ABS(F36-B36)</f>
        <v>0.00254120388899537</v>
      </c>
      <c r="J36" s="6" t="n">
        <f aca="false">ABS(G36-B36)</f>
        <v>0.00628988023299826</v>
      </c>
    </row>
    <row r="37" customFormat="false" ht="15" hidden="false" customHeight="true" outlineLevel="0" collapsed="false">
      <c r="A37" s="3" t="n">
        <v>16.5</v>
      </c>
      <c r="B37" s="4" t="n">
        <v>150.0051</v>
      </c>
      <c r="C37" s="5" t="n">
        <v>2834226</v>
      </c>
      <c r="D37" s="5" t="n">
        <v>942167</v>
      </c>
      <c r="E37" s="6" t="n">
        <v>150.005606852351</v>
      </c>
      <c r="F37" s="6" t="n">
        <v>150.004596102636</v>
      </c>
      <c r="G37" s="6" t="n">
        <v>149.998923298904</v>
      </c>
      <c r="H37" s="6" t="n">
        <f aca="false">ABS(E37-B37)</f>
        <v>0.000506852351009002</v>
      </c>
      <c r="I37" s="6" t="n">
        <f aca="false">ABS(F37-B37)</f>
        <v>0.000503897364012573</v>
      </c>
      <c r="J37" s="6" t="n">
        <f aca="false">ABS(G37-B37)</f>
        <v>0.00617670109599544</v>
      </c>
    </row>
    <row r="38" customFormat="false" ht="15" hidden="false" customHeight="true" outlineLevel="0" collapsed="false">
      <c r="A38" s="3" t="n">
        <v>16.5</v>
      </c>
      <c r="B38" s="4" t="n">
        <v>160.0063</v>
      </c>
      <c r="C38" s="5" t="n">
        <v>3012673</v>
      </c>
      <c r="D38" s="5" t="n">
        <v>942439</v>
      </c>
      <c r="E38" s="6" t="n">
        <v>160.004001555821</v>
      </c>
      <c r="F38" s="6" t="n">
        <v>160.004793611087</v>
      </c>
      <c r="G38" s="6" t="n">
        <v>159.99716117455</v>
      </c>
      <c r="H38" s="6" t="n">
        <f aca="false">ABS(E38-B38)</f>
        <v>0.00229844417901859</v>
      </c>
      <c r="I38" s="6" t="n">
        <f aca="false">ABS(F38-B38)</f>
        <v>0.00150638891301469</v>
      </c>
      <c r="J38" s="6" t="n">
        <f aca="false">ABS(G38-B38)</f>
        <v>0.00913882545000888</v>
      </c>
    </row>
    <row r="39" customFormat="false" ht="15" hidden="false" customHeight="true" outlineLevel="0" collapsed="false">
      <c r="A39" s="3" t="n">
        <v>16.5</v>
      </c>
      <c r="B39" s="4" t="n">
        <v>170.0065</v>
      </c>
      <c r="C39" s="5" t="n">
        <v>3191117</v>
      </c>
      <c r="D39" s="5" t="n">
        <v>942707</v>
      </c>
      <c r="E39" s="6" t="n">
        <v>170.005803303598</v>
      </c>
      <c r="F39" s="6" t="n">
        <v>170.007379698858</v>
      </c>
      <c r="G39" s="6" t="n">
        <v>169.999554276305</v>
      </c>
      <c r="H39" s="6" t="n">
        <f aca="false">ABS(E39-B39)</f>
        <v>0.000696696402002317</v>
      </c>
      <c r="I39" s="6" t="n">
        <f aca="false">ABS(F39-B39)</f>
        <v>0.000879698858000211</v>
      </c>
      <c r="J39" s="6" t="n">
        <f aca="false">ABS(G39-B39)</f>
        <v>0.00694572369499724</v>
      </c>
    </row>
    <row r="40" customFormat="false" ht="15" hidden="false" customHeight="true" outlineLevel="0" collapsed="false">
      <c r="A40" s="3" t="n">
        <v>16.5</v>
      </c>
      <c r="B40" s="4" t="n">
        <v>180.0082</v>
      </c>
      <c r="C40" s="5" t="n">
        <v>3369509</v>
      </c>
      <c r="D40" s="5" t="n">
        <v>942971</v>
      </c>
      <c r="E40" s="6" t="n">
        <v>180.008422148241</v>
      </c>
      <c r="F40" s="6" t="n">
        <v>180.008467165386</v>
      </c>
      <c r="G40" s="6" t="n">
        <v>180.003353962553</v>
      </c>
      <c r="H40" s="6" t="n">
        <f aca="false">ABS(E40-B40)</f>
        <v>0.000222148241022069</v>
      </c>
      <c r="I40" s="6" t="n">
        <f aca="false">ABS(F40-B40)</f>
        <v>0.000267165386020452</v>
      </c>
      <c r="J40" s="6" t="n">
        <f aca="false">ABS(G40-B40)</f>
        <v>0.0048460374469812</v>
      </c>
    </row>
    <row r="41" customFormat="false" ht="15" hidden="false" customHeight="true" outlineLevel="0" collapsed="false">
      <c r="A41" s="3" t="n">
        <v>16.5</v>
      </c>
      <c r="B41" s="4" t="n">
        <v>190.0078</v>
      </c>
      <c r="C41" s="5" t="n">
        <v>3547773</v>
      </c>
      <c r="D41" s="5" t="n">
        <v>943234</v>
      </c>
      <c r="E41" s="6" t="n">
        <v>190.007252839621</v>
      </c>
      <c r="F41" s="6" t="n">
        <v>190.007714218711</v>
      </c>
      <c r="G41" s="6" t="n">
        <v>190.003799948642</v>
      </c>
      <c r="H41" s="6" t="n">
        <f aca="false">ABS(E41-B41)</f>
        <v>0.000547160378999934</v>
      </c>
      <c r="I41" s="6" t="n">
        <f aca="false">ABS(F41-B41)</f>
        <v>8.57812890160403E-005</v>
      </c>
      <c r="J41" s="6" t="n">
        <f aca="false">ABS(G41-B41)</f>
        <v>0.0040000513579912</v>
      </c>
    </row>
    <row r="42" customFormat="false" ht="15" hidden="false" customHeight="true" outlineLevel="0" collapsed="false">
      <c r="A42" s="3" t="n">
        <v>16.5</v>
      </c>
      <c r="B42" s="4" t="n">
        <v>200.0084</v>
      </c>
      <c r="C42" s="5" t="n">
        <v>3725978</v>
      </c>
      <c r="D42" s="5" t="n">
        <v>943489</v>
      </c>
      <c r="E42" s="6" t="n">
        <v>200.007453667174</v>
      </c>
      <c r="F42" s="6" t="n">
        <v>200.008090471557</v>
      </c>
      <c r="G42" s="6" t="n">
        <v>200.005893181594</v>
      </c>
      <c r="H42" s="6" t="n">
        <f aca="false">ABS(E42-B42)</f>
        <v>0.000946332826003982</v>
      </c>
      <c r="I42" s="6" t="n">
        <f aca="false">ABS(F42-B42)</f>
        <v>0.000309528442983265</v>
      </c>
      <c r="J42" s="6" t="n">
        <f aca="false">ABS(G42-B42)</f>
        <v>0.00250681840600464</v>
      </c>
    </row>
    <row r="43" customFormat="false" ht="15" hidden="false" customHeight="true" outlineLevel="0" collapsed="false">
      <c r="A43" s="3" t="n">
        <v>16.5</v>
      </c>
      <c r="B43" s="4" t="n">
        <v>210.0076</v>
      </c>
      <c r="C43" s="5" t="n">
        <v>3904108</v>
      </c>
      <c r="D43" s="5" t="n">
        <v>943741</v>
      </c>
      <c r="E43" s="6" t="n">
        <v>210.007489492709</v>
      </c>
      <c r="F43" s="6" t="n">
        <v>210.007911558995</v>
      </c>
      <c r="G43" s="6" t="n">
        <v>210.00795121315</v>
      </c>
      <c r="H43" s="6" t="n">
        <f aca="false">ABS(E43-B43)</f>
        <v>0.00011050729099793</v>
      </c>
      <c r="I43" s="6" t="n">
        <f aca="false">ABS(F43-B43)</f>
        <v>0.000311558995008454</v>
      </c>
      <c r="J43" s="6" t="n">
        <f aca="false">ABS(G43-B43)</f>
        <v>0.00035121314999742</v>
      </c>
    </row>
    <row r="44" customFormat="false" ht="15" hidden="false" customHeight="true" outlineLevel="0" collapsed="false">
      <c r="A44" s="3" t="n">
        <v>16.5</v>
      </c>
      <c r="B44" s="4" t="n">
        <v>220.0078</v>
      </c>
      <c r="C44" s="5" t="n">
        <v>4082165</v>
      </c>
      <c r="D44" s="5" t="n">
        <v>943989</v>
      </c>
      <c r="E44" s="6" t="n">
        <v>220.007790315689</v>
      </c>
      <c r="F44" s="6" t="n">
        <v>220.007459135087</v>
      </c>
      <c r="G44" s="6" t="n">
        <v>220.010256162648</v>
      </c>
      <c r="H44" s="6" t="n">
        <f aca="false">ABS(E44-B44)</f>
        <v>9.68431101000533E-006</v>
      </c>
      <c r="I44" s="6" t="n">
        <f aca="false">ABS(F44-B44)</f>
        <v>0.00034086491299945</v>
      </c>
      <c r="J44" s="6" t="n">
        <f aca="false">ABS(G44-B44)</f>
        <v>0.00245616264800219</v>
      </c>
    </row>
    <row r="45" customFormat="false" ht="15" hidden="false" customHeight="true" outlineLevel="0" collapsed="false">
      <c r="A45" s="3" t="n">
        <v>16.5</v>
      </c>
      <c r="B45" s="4" t="n">
        <v>230.0086</v>
      </c>
      <c r="C45" s="5" t="n">
        <v>4260150</v>
      </c>
      <c r="D45" s="5" t="n">
        <v>944234</v>
      </c>
      <c r="E45" s="6" t="n">
        <v>230.008365756832</v>
      </c>
      <c r="F45" s="6" t="n">
        <v>230.008159357943</v>
      </c>
      <c r="G45" s="6" t="n">
        <v>230.012673704565</v>
      </c>
      <c r="H45" s="6" t="n">
        <f aca="false">ABS(E45-B45)</f>
        <v>0.000234243167994919</v>
      </c>
      <c r="I45" s="6" t="n">
        <f aca="false">ABS(F45-B45)</f>
        <v>0.000440642057014884</v>
      </c>
      <c r="J45" s="6" t="n">
        <f aca="false">ABS(G45-B45)</f>
        <v>0.00407370456500189</v>
      </c>
    </row>
    <row r="46" customFormat="false" ht="15" hidden="false" customHeight="true" outlineLevel="0" collapsed="false">
      <c r="A46" s="3" t="n">
        <v>16.5</v>
      </c>
      <c r="B46" s="4" t="n">
        <v>240.0082</v>
      </c>
      <c r="C46" s="5" t="n">
        <v>4438024</v>
      </c>
      <c r="D46" s="5" t="n">
        <v>944473</v>
      </c>
      <c r="E46" s="6" t="n">
        <v>240.007764713816</v>
      </c>
      <c r="F46" s="6" t="n">
        <v>240.008820824066</v>
      </c>
      <c r="G46" s="6" t="n">
        <v>240.013610638042</v>
      </c>
      <c r="H46" s="6" t="n">
        <f aca="false">ABS(E46-B46)</f>
        <v>0.000435286184000461</v>
      </c>
      <c r="I46" s="6" t="n">
        <f aca="false">ABS(F46-B46)</f>
        <v>0.000620824066004388</v>
      </c>
      <c r="J46" s="6" t="n">
        <f aca="false">ABS(G46-B46)</f>
        <v>0.00541063804200803</v>
      </c>
    </row>
    <row r="47" customFormat="false" ht="15" hidden="false" customHeight="true" outlineLevel="0" collapsed="false">
      <c r="A47" s="3" t="n">
        <v>16.5</v>
      </c>
      <c r="B47" s="4" t="n">
        <v>250.009</v>
      </c>
      <c r="C47" s="5" t="n">
        <v>4615859</v>
      </c>
      <c r="D47" s="5" t="n">
        <v>944710</v>
      </c>
      <c r="E47" s="6" t="n">
        <v>250.009383912537</v>
      </c>
      <c r="F47" s="6" t="n">
        <v>250.009980704478</v>
      </c>
      <c r="G47" s="6" t="n">
        <v>250.016327116595</v>
      </c>
      <c r="H47" s="6" t="n">
        <f aca="false">ABS(E47-B47)</f>
        <v>0.00038391253701775</v>
      </c>
      <c r="I47" s="6" t="n">
        <f aca="false">ABS(F47-B47)</f>
        <v>0.000980704478024563</v>
      </c>
      <c r="J47" s="6" t="n">
        <f aca="false">ABS(G47-B47)</f>
        <v>0.00732711659500751</v>
      </c>
    </row>
    <row r="48" customFormat="false" ht="15" hidden="false" customHeight="true" outlineLevel="0" collapsed="false">
      <c r="A48" s="3" t="n">
        <v>16.5</v>
      </c>
      <c r="B48" s="4" t="n">
        <v>260.0086</v>
      </c>
      <c r="C48" s="5" t="n">
        <v>4793549</v>
      </c>
      <c r="D48" s="5" t="n">
        <v>944940</v>
      </c>
      <c r="E48" s="6" t="n">
        <v>260.00846483834</v>
      </c>
      <c r="F48" s="6" t="n">
        <v>260.00899392898</v>
      </c>
      <c r="G48" s="6" t="n">
        <v>260.016155976323</v>
      </c>
      <c r="H48" s="6" t="n">
        <f aca="false">ABS(E48-B48)</f>
        <v>0.000135161660011818</v>
      </c>
      <c r="I48" s="6" t="n">
        <f aca="false">ABS(F48-B48)</f>
        <v>0.000393928979974589</v>
      </c>
      <c r="J48" s="6" t="n">
        <f aca="false">ABS(G48-B48)</f>
        <v>0.00755597632297622</v>
      </c>
    </row>
    <row r="49" customFormat="false" ht="15" hidden="false" customHeight="true" outlineLevel="0" collapsed="false">
      <c r="A49" s="3" t="n">
        <v>16.5</v>
      </c>
      <c r="B49" s="4" t="n">
        <v>270.0086</v>
      </c>
      <c r="C49" s="5" t="n">
        <v>4971178</v>
      </c>
      <c r="D49" s="5" t="n">
        <v>945167</v>
      </c>
      <c r="E49" s="6" t="n">
        <v>270.009033814764</v>
      </c>
      <c r="F49" s="6" t="n">
        <v>270.009754216987</v>
      </c>
      <c r="G49" s="6" t="n">
        <v>270.016929823882</v>
      </c>
      <c r="H49" s="6" t="n">
        <f aca="false">ABS(E49-B49)</f>
        <v>0.000433814763994178</v>
      </c>
      <c r="I49" s="6" t="n">
        <f aca="false">ABS(F49-B49)</f>
        <v>0.00115421698700402</v>
      </c>
      <c r="J49" s="6" t="n">
        <f aca="false">ABS(G49-B49)</f>
        <v>0.00832982388197934</v>
      </c>
    </row>
    <row r="50" customFormat="false" ht="15" hidden="false" customHeight="true" outlineLevel="0" collapsed="false">
      <c r="A50" s="3" t="n">
        <v>16.5</v>
      </c>
      <c r="B50" s="4" t="n">
        <v>280.0124</v>
      </c>
      <c r="C50" s="5" t="n">
        <v>5148742</v>
      </c>
      <c r="D50" s="5" t="n">
        <v>945390</v>
      </c>
      <c r="E50" s="6" t="n">
        <v>280.011229392249</v>
      </c>
      <c r="F50" s="6" t="n">
        <v>280.012273744653</v>
      </c>
      <c r="G50" s="6" t="n">
        <v>280.01825802171</v>
      </c>
      <c r="H50" s="6" t="n">
        <f aca="false">ABS(E50-B50)</f>
        <v>0.00117060775102118</v>
      </c>
      <c r="I50" s="6" t="n">
        <f aca="false">ABS(F50-B50)</f>
        <v>0.000126255347026927</v>
      </c>
      <c r="J50" s="6" t="n">
        <f aca="false">ABS(G50-B50)</f>
        <v>0.00585802170996885</v>
      </c>
    </row>
    <row r="51" customFormat="false" ht="15" hidden="false" customHeight="true" outlineLevel="0" collapsed="false">
      <c r="A51" s="3" t="n">
        <v>16.5</v>
      </c>
      <c r="B51" s="4" t="n">
        <v>290.0116</v>
      </c>
      <c r="C51" s="5" t="n">
        <v>5326158</v>
      </c>
      <c r="D51" s="5" t="n">
        <v>945610</v>
      </c>
      <c r="E51" s="6" t="n">
        <v>290.010232517582</v>
      </c>
      <c r="F51" s="6" t="n">
        <v>290.011646294911</v>
      </c>
      <c r="G51" s="6" t="n">
        <v>290.015196307634</v>
      </c>
      <c r="H51" s="6" t="n">
        <f aca="false">ABS(E51-B51)</f>
        <v>0.00136748241800433</v>
      </c>
      <c r="I51" s="6" t="n">
        <f aca="false">ABS(F51-B51)</f>
        <v>4.62949109873989E-005</v>
      </c>
      <c r="J51" s="6" t="n">
        <f aca="false">ABS(G51-B51)</f>
        <v>0.00359630763404084</v>
      </c>
    </row>
    <row r="52" customFormat="false" ht="15" hidden="false" customHeight="true" outlineLevel="0" collapsed="false">
      <c r="A52" s="3" t="n">
        <v>16.5</v>
      </c>
      <c r="B52" s="4" t="n">
        <v>300.0112</v>
      </c>
      <c r="C52" s="5" t="n">
        <v>5503509</v>
      </c>
      <c r="D52" s="5" t="n">
        <v>945825</v>
      </c>
      <c r="E52" s="6" t="n">
        <v>300.011389507277</v>
      </c>
      <c r="F52" s="6" t="n">
        <v>300.012986380562</v>
      </c>
      <c r="G52" s="6" t="n">
        <v>300.012968598536</v>
      </c>
      <c r="H52" s="6" t="n">
        <f aca="false">ABS(E52-B52)</f>
        <v>0.000189507277013945</v>
      </c>
      <c r="I52" s="6" t="n">
        <f aca="false">ABS(F52-B52)</f>
        <v>0.00178638056200953</v>
      </c>
      <c r="J52" s="6" t="n">
        <f aca="false">ABS(G52-B52)</f>
        <v>0.00176859853604583</v>
      </c>
    </row>
    <row r="53" customFormat="false" ht="15" hidden="false" customHeight="true" outlineLevel="0" collapsed="false">
      <c r="A53" s="3" t="n">
        <v>18</v>
      </c>
      <c r="B53" s="4" t="n">
        <v>10.0027</v>
      </c>
      <c r="C53" s="5" t="n">
        <v>331387</v>
      </c>
      <c r="D53" s="5" t="n">
        <v>934635</v>
      </c>
      <c r="E53" s="6" t="n">
        <v>10.0021405002277</v>
      </c>
      <c r="F53" s="6" t="n">
        <v>10.0002659842366</v>
      </c>
      <c r="G53" s="6" t="n">
        <v>9.99915002208212</v>
      </c>
      <c r="H53" s="6" t="n">
        <f aca="false">ABS(E53-B53)</f>
        <v>0.000559499772300853</v>
      </c>
      <c r="I53" s="6" t="n">
        <f aca="false">ABS(F53-B53)</f>
        <v>0.00243401576340041</v>
      </c>
      <c r="J53" s="6" t="n">
        <f aca="false">ABS(G53-B53)</f>
        <v>0.00354997791788136</v>
      </c>
    </row>
    <row r="54" customFormat="false" ht="15" hidden="false" customHeight="true" outlineLevel="0" collapsed="false">
      <c r="A54" s="3" t="n">
        <v>18</v>
      </c>
      <c r="B54" s="4" t="n">
        <v>20.0033</v>
      </c>
      <c r="C54" s="5" t="n">
        <v>509851</v>
      </c>
      <c r="D54" s="5" t="n">
        <v>934962</v>
      </c>
      <c r="E54" s="6" t="n">
        <v>20.0028199352992</v>
      </c>
      <c r="F54" s="6" t="n">
        <v>20.0011911414267</v>
      </c>
      <c r="G54" s="6" t="n">
        <v>19.9991191867289</v>
      </c>
      <c r="H54" s="6" t="n">
        <f aca="false">ABS(E54-B54)</f>
        <v>0.000480064700798977</v>
      </c>
      <c r="I54" s="6" t="n">
        <f aca="false">ABS(F54-B54)</f>
        <v>0.00210885857330112</v>
      </c>
      <c r="J54" s="6" t="n">
        <f aca="false">ABS(G54-B54)</f>
        <v>0.00418081327109832</v>
      </c>
    </row>
    <row r="55" customFormat="false" ht="15" hidden="false" customHeight="true" outlineLevel="0" collapsed="false">
      <c r="A55" s="3" t="n">
        <v>18</v>
      </c>
      <c r="B55" s="4" t="n">
        <v>40.0042</v>
      </c>
      <c r="C55" s="5" t="n">
        <v>866741</v>
      </c>
      <c r="D55" s="5" t="n">
        <v>935610</v>
      </c>
      <c r="E55" s="6" t="n">
        <v>40.0051713595648</v>
      </c>
      <c r="F55" s="6" t="n">
        <v>40.0048104721724</v>
      </c>
      <c r="G55" s="6" t="n">
        <v>40.0024397307404</v>
      </c>
      <c r="H55" s="6" t="n">
        <f aca="false">ABS(E55-B55)</f>
        <v>0.000971359564800878</v>
      </c>
      <c r="I55" s="6" t="n">
        <f aca="false">ABS(F55-B55)</f>
        <v>0.000610472172404286</v>
      </c>
      <c r="J55" s="6" t="n">
        <f aca="false">ABS(G55-B55)</f>
        <v>0.0017602692595986</v>
      </c>
    </row>
    <row r="56" customFormat="false" ht="15" hidden="false" customHeight="true" outlineLevel="0" collapsed="false">
      <c r="A56" s="3" t="n">
        <v>18</v>
      </c>
      <c r="B56" s="4" t="n">
        <v>50.0047</v>
      </c>
      <c r="C56" s="5" t="n">
        <v>1045126</v>
      </c>
      <c r="D56" s="5" t="n">
        <v>935923</v>
      </c>
      <c r="E56" s="6" t="n">
        <v>50.0049973286842</v>
      </c>
      <c r="F56" s="6" t="n">
        <v>50.0050615551977</v>
      </c>
      <c r="G56" s="6" t="n">
        <v>50.003600633023</v>
      </c>
      <c r="H56" s="6" t="n">
        <f aca="false">ABS(E56-B56)</f>
        <v>0.000297328684197851</v>
      </c>
      <c r="I56" s="6" t="n">
        <f aca="false">ABS(F56-B56)</f>
        <v>0.000361555197699204</v>
      </c>
      <c r="J56" s="6" t="n">
        <f aca="false">ABS(G56-B56)</f>
        <v>0.00109936697700164</v>
      </c>
    </row>
    <row r="57" customFormat="false" ht="15" hidden="false" customHeight="true" outlineLevel="0" collapsed="false">
      <c r="A57" s="3" t="n">
        <v>18</v>
      </c>
      <c r="B57" s="4" t="n">
        <v>70.0035</v>
      </c>
      <c r="C57" s="5" t="n">
        <v>1401787</v>
      </c>
      <c r="D57" s="5" t="n">
        <v>936540</v>
      </c>
      <c r="E57" s="6" t="n">
        <v>70.0033824753582</v>
      </c>
      <c r="F57" s="6" t="n">
        <v>70.0022277430021</v>
      </c>
      <c r="G57" s="6" t="n">
        <v>70.0053079381832</v>
      </c>
      <c r="H57" s="6" t="n">
        <f aca="false">ABS(E57-B57)</f>
        <v>0.000117524641808586</v>
      </c>
      <c r="I57" s="6" t="n">
        <f aca="false">ABS(F57-B57)</f>
        <v>0.00127225699790756</v>
      </c>
      <c r="J57" s="6" t="n">
        <f aca="false">ABS(G57-B57)</f>
        <v>0.00180793818319103</v>
      </c>
    </row>
    <row r="58" customFormat="false" ht="15" hidden="false" customHeight="true" outlineLevel="0" collapsed="false">
      <c r="A58" s="3" t="n">
        <v>18</v>
      </c>
      <c r="B58" s="4" t="n">
        <v>80.0037</v>
      </c>
      <c r="C58" s="5" t="n">
        <v>1580099</v>
      </c>
      <c r="D58" s="5" t="n">
        <v>936845</v>
      </c>
      <c r="E58" s="6" t="n">
        <v>80.0042106006202</v>
      </c>
      <c r="F58" s="6" t="n">
        <v>80.0027596094711</v>
      </c>
      <c r="G58" s="6" t="n">
        <v>80.007276463286</v>
      </c>
      <c r="H58" s="6" t="n">
        <f aca="false">ABS(E58-B58)</f>
        <v>0.000510600620202695</v>
      </c>
      <c r="I58" s="6" t="n">
        <f aca="false">ABS(F58-B58)</f>
        <v>0.000940390528896273</v>
      </c>
      <c r="J58" s="6" t="n">
        <f aca="false">ABS(G58-B58)</f>
        <v>0.00357646328600936</v>
      </c>
    </row>
    <row r="59" customFormat="false" ht="15" hidden="false" customHeight="true" outlineLevel="0" collapsed="false">
      <c r="A59" s="3" t="n">
        <v>18</v>
      </c>
      <c r="B59" s="4" t="n">
        <v>100.004</v>
      </c>
      <c r="C59" s="5" t="n">
        <v>1936586</v>
      </c>
      <c r="D59" s="5" t="n">
        <v>937442</v>
      </c>
      <c r="E59" s="6" t="n">
        <v>100.004619558071</v>
      </c>
      <c r="F59" s="6" t="n">
        <v>100.003866530512</v>
      </c>
      <c r="G59" s="6" t="n">
        <v>100.007726868835</v>
      </c>
      <c r="H59" s="6" t="n">
        <f aca="false">ABS(E59-B59)</f>
        <v>0.000619558070994231</v>
      </c>
      <c r="I59" s="6" t="n">
        <f aca="false">ABS(F59-B59)</f>
        <v>0.000133469488005744</v>
      </c>
      <c r="J59" s="6" t="n">
        <f aca="false">ABS(G59-B59)</f>
        <v>0.0037268688349883</v>
      </c>
    </row>
    <row r="60" customFormat="false" ht="15" hidden="false" customHeight="true" outlineLevel="0" collapsed="false">
      <c r="A60" s="3" t="n">
        <v>18</v>
      </c>
      <c r="B60" s="4" t="n">
        <v>110.0037</v>
      </c>
      <c r="C60" s="5" t="n">
        <v>2114750</v>
      </c>
      <c r="D60" s="5" t="n">
        <v>937718</v>
      </c>
      <c r="E60" s="6" t="n">
        <v>110.005302890323</v>
      </c>
      <c r="F60" s="6" t="n">
        <v>110.004534292647</v>
      </c>
      <c r="G60" s="6" t="n">
        <v>110.006958096429</v>
      </c>
      <c r="H60" s="6" t="n">
        <f aca="false">ABS(E60-B60)</f>
        <v>0.00160289032299943</v>
      </c>
      <c r="I60" s="6" t="n">
        <f aca="false">ABS(F60-B60)</f>
        <v>0.000834292646999302</v>
      </c>
      <c r="J60" s="6" t="n">
        <f aca="false">ABS(G60-B60)</f>
        <v>0.00325809642900765</v>
      </c>
    </row>
    <row r="61" customFormat="false" ht="15" hidden="false" customHeight="true" outlineLevel="0" collapsed="false">
      <c r="A61" s="3" t="n">
        <v>18</v>
      </c>
      <c r="B61" s="4" t="n">
        <v>130.0045</v>
      </c>
      <c r="C61" s="5" t="n">
        <v>2470964</v>
      </c>
      <c r="D61" s="5" t="n">
        <v>938299</v>
      </c>
      <c r="E61" s="6" t="n">
        <v>130.004958529835</v>
      </c>
      <c r="F61" s="6" t="n">
        <v>130.003283994023</v>
      </c>
      <c r="G61" s="6" t="n">
        <v>130.00014211643</v>
      </c>
      <c r="H61" s="6" t="n">
        <f aca="false">ABS(E61-B61)</f>
        <v>0.000458529834986621</v>
      </c>
      <c r="I61" s="6" t="n">
        <f aca="false">ABS(F61-B61)</f>
        <v>0.00121600597699967</v>
      </c>
      <c r="J61" s="6" t="n">
        <f aca="false">ABS(G61-B61)</f>
        <v>0.00435788357000888</v>
      </c>
    </row>
    <row r="62" customFormat="false" ht="15" hidden="false" customHeight="true" outlineLevel="0" collapsed="false">
      <c r="A62" s="3" t="n">
        <v>18</v>
      </c>
      <c r="B62" s="4" t="n">
        <v>140.005</v>
      </c>
      <c r="C62" s="5" t="n">
        <v>2648970</v>
      </c>
      <c r="D62" s="5" t="n">
        <v>938581</v>
      </c>
      <c r="E62" s="6" t="n">
        <v>140.003610791826</v>
      </c>
      <c r="F62" s="6" t="n">
        <v>140.002646882256</v>
      </c>
      <c r="G62" s="6" t="n">
        <v>139.996329991341</v>
      </c>
      <c r="H62" s="6" t="n">
        <f aca="false">ABS(E62-B62)</f>
        <v>0.0013892081740039</v>
      </c>
      <c r="I62" s="6" t="n">
        <f aca="false">ABS(F62-B62)</f>
        <v>0.0023531177440077</v>
      </c>
      <c r="J62" s="6" t="n">
        <f aca="false">ABS(G62-B62)</f>
        <v>0.00867000865898149</v>
      </c>
    </row>
    <row r="63" customFormat="false" ht="15" hidden="false" customHeight="true" outlineLevel="0" collapsed="false">
      <c r="A63" s="3" t="n">
        <v>18</v>
      </c>
      <c r="B63" s="4" t="n">
        <v>160.0063</v>
      </c>
      <c r="C63" s="5" t="n">
        <v>3004856</v>
      </c>
      <c r="D63" s="5" t="n">
        <v>939130</v>
      </c>
      <c r="E63" s="6" t="n">
        <v>160.0036745875</v>
      </c>
      <c r="F63" s="6" t="n">
        <v>160.004822662887</v>
      </c>
      <c r="G63" s="6" t="n">
        <v>159.994824425086</v>
      </c>
      <c r="H63" s="6" t="n">
        <f aca="false">ABS(E63-B63)</f>
        <v>0.00262541250000936</v>
      </c>
      <c r="I63" s="6" t="n">
        <f aca="false">ABS(F63-B63)</f>
        <v>0.00147733711301612</v>
      </c>
      <c r="J63" s="6" t="n">
        <f aca="false">ABS(G63-B63)</f>
        <v>0.0114755749140159</v>
      </c>
    </row>
    <row r="64" customFormat="false" ht="15" hidden="false" customHeight="true" outlineLevel="0" collapsed="false">
      <c r="A64" s="3" t="n">
        <v>18</v>
      </c>
      <c r="B64" s="4" t="n">
        <v>170.0065</v>
      </c>
      <c r="C64" s="5" t="n">
        <v>3182723</v>
      </c>
      <c r="D64" s="5" t="n">
        <v>939395</v>
      </c>
      <c r="E64" s="6" t="n">
        <v>170.005033891281</v>
      </c>
      <c r="F64" s="6" t="n">
        <v>170.005687425468</v>
      </c>
      <c r="G64" s="6" t="n">
        <v>169.996745641901</v>
      </c>
      <c r="H64" s="6" t="n">
        <f aca="false">ABS(E64-B64)</f>
        <v>0.00146610871900066</v>
      </c>
      <c r="I64" s="6" t="n">
        <f aca="false">ABS(F64-B64)</f>
        <v>0.000812574531977361</v>
      </c>
      <c r="J64" s="6" t="n">
        <f aca="false">ABS(G64-B64)</f>
        <v>0.00975435809900205</v>
      </c>
    </row>
    <row r="65" customFormat="false" ht="15" hidden="false" customHeight="true" outlineLevel="0" collapsed="false">
      <c r="A65" s="3" t="n">
        <v>18</v>
      </c>
      <c r="B65" s="4" t="n">
        <v>190.0078</v>
      </c>
      <c r="C65" s="5" t="n">
        <v>3538275</v>
      </c>
      <c r="D65" s="5" t="n">
        <v>939920</v>
      </c>
      <c r="E65" s="6" t="n">
        <v>190.007618697889</v>
      </c>
      <c r="F65" s="6" t="n">
        <v>190.007094564228</v>
      </c>
      <c r="G65" s="6" t="n">
        <v>190.002337408834</v>
      </c>
      <c r="H65" s="6" t="n">
        <f aca="false">ABS(E65-B65)</f>
        <v>0.000181302111002424</v>
      </c>
      <c r="I65" s="6" t="n">
        <f aca="false">ABS(F65-B65)</f>
        <v>0.000705435772005103</v>
      </c>
      <c r="J65" s="6" t="n">
        <f aca="false">ABS(G65-B65)</f>
        <v>0.00546259116600822</v>
      </c>
    </row>
    <row r="66" customFormat="false" ht="15" hidden="false" customHeight="true" outlineLevel="0" collapsed="false">
      <c r="A66" s="3" t="n">
        <v>18</v>
      </c>
      <c r="B66" s="4" t="n">
        <v>200.0084</v>
      </c>
      <c r="C66" s="5" t="n">
        <v>3715925</v>
      </c>
      <c r="D66" s="5" t="n">
        <v>940172</v>
      </c>
      <c r="E66" s="6" t="n">
        <v>200.008427193099</v>
      </c>
      <c r="F66" s="6" t="n">
        <v>200.007905445037</v>
      </c>
      <c r="G66" s="6" t="n">
        <v>200.005265676194</v>
      </c>
      <c r="H66" s="6" t="n">
        <f aca="false">ABS(E66-B66)</f>
        <v>2.71930990152214E-005</v>
      </c>
      <c r="I66" s="6" t="n">
        <f aca="false">ABS(F66-B66)</f>
        <v>0.000494554962983784</v>
      </c>
      <c r="J66" s="6" t="n">
        <f aca="false">ABS(G66-B66)</f>
        <v>0.00313432380599465</v>
      </c>
    </row>
    <row r="67" customFormat="false" ht="15" hidden="false" customHeight="true" outlineLevel="0" collapsed="false">
      <c r="A67" s="3" t="n">
        <v>18</v>
      </c>
      <c r="B67" s="4" t="n">
        <v>220.0078</v>
      </c>
      <c r="C67" s="5" t="n">
        <v>4070992</v>
      </c>
      <c r="D67" s="5" t="n">
        <v>940671</v>
      </c>
      <c r="E67" s="6" t="n">
        <v>220.008333251434</v>
      </c>
      <c r="F67" s="6" t="n">
        <v>220.008604871407</v>
      </c>
      <c r="G67" s="6" t="n">
        <v>220.010483305299</v>
      </c>
      <c r="H67" s="6" t="n">
        <f aca="false">ABS(E67-B67)</f>
        <v>0.000533251434006843</v>
      </c>
      <c r="I67" s="6" t="n">
        <f aca="false">ABS(F67-B67)</f>
        <v>0.000804871406984375</v>
      </c>
      <c r="J67" s="6" t="n">
        <f aca="false">ABS(G67-B67)</f>
        <v>0.0026833052990014</v>
      </c>
    </row>
    <row r="68" customFormat="false" ht="15" hidden="false" customHeight="true" outlineLevel="0" collapsed="false">
      <c r="A68" s="3" t="n">
        <v>18</v>
      </c>
      <c r="B68" s="4" t="n">
        <v>230.0086</v>
      </c>
      <c r="C68" s="5" t="n">
        <v>4248372</v>
      </c>
      <c r="D68" s="5" t="n">
        <v>940916</v>
      </c>
      <c r="E68" s="6" t="n">
        <v>230.005915753554</v>
      </c>
      <c r="F68" s="6" t="n">
        <v>230.007255678655</v>
      </c>
      <c r="G68" s="6" t="n">
        <v>230.010711717508</v>
      </c>
      <c r="H68" s="6" t="n">
        <f aca="false">ABS(E68-B68)</f>
        <v>0.00268424644599463</v>
      </c>
      <c r="I68" s="6" t="n">
        <f aca="false">ABS(F68-B68)</f>
        <v>0.00134432134498752</v>
      </c>
      <c r="J68" s="6" t="n">
        <f aca="false">ABS(G68-B68)</f>
        <v>0.00211171750800077</v>
      </c>
    </row>
    <row r="69" customFormat="false" ht="15" hidden="false" customHeight="true" outlineLevel="0" collapsed="false">
      <c r="A69" s="3" t="n">
        <v>18</v>
      </c>
      <c r="B69" s="4" t="n">
        <v>250.009</v>
      </c>
      <c r="C69" s="5" t="n">
        <v>4602978</v>
      </c>
      <c r="D69" s="5" t="n">
        <v>941390</v>
      </c>
      <c r="E69" s="6" t="n">
        <v>250.007169842492</v>
      </c>
      <c r="F69" s="6" t="n">
        <v>250.008846484881</v>
      </c>
      <c r="G69" s="6" t="n">
        <v>250.015633055275</v>
      </c>
      <c r="H69" s="6" t="n">
        <f aca="false">ABS(E69-B69)</f>
        <v>0.00183015750798177</v>
      </c>
      <c r="I69" s="6" t="n">
        <f aca="false">ABS(F69-B69)</f>
        <v>0.000153515118995529</v>
      </c>
      <c r="J69" s="6" t="n">
        <f aca="false">ABS(G69-B69)</f>
        <v>0.00663305527501734</v>
      </c>
    </row>
    <row r="70" customFormat="false" ht="15" hidden="false" customHeight="true" outlineLevel="0" collapsed="false">
      <c r="A70" s="3" t="n">
        <v>18</v>
      </c>
      <c r="B70" s="4" t="n">
        <v>260.0086</v>
      </c>
      <c r="C70" s="5" t="n">
        <v>4780125</v>
      </c>
      <c r="D70" s="5" t="n">
        <v>941619</v>
      </c>
      <c r="E70" s="6" t="n">
        <v>260.006745293794</v>
      </c>
      <c r="F70" s="6" t="n">
        <v>260.008299513081</v>
      </c>
      <c r="G70" s="6" t="n">
        <v>260.015933495327</v>
      </c>
      <c r="H70" s="6" t="n">
        <f aca="false">ABS(E70-B70)</f>
        <v>0.00185470620601791</v>
      </c>
      <c r="I70" s="6" t="n">
        <f aca="false">ABS(F70-B70)</f>
        <v>0.000300486919002196</v>
      </c>
      <c r="J70" s="6" t="n">
        <f aca="false">ABS(G70-B70)</f>
        <v>0.00733349532697503</v>
      </c>
    </row>
    <row r="71" customFormat="false" ht="15" hidden="false" customHeight="true" outlineLevel="0" collapsed="false">
      <c r="A71" s="3" t="n">
        <v>18</v>
      </c>
      <c r="B71" s="4" t="n">
        <v>280.0124</v>
      </c>
      <c r="C71" s="5" t="n">
        <v>5134257</v>
      </c>
      <c r="D71" s="5" t="n">
        <v>942066</v>
      </c>
      <c r="E71" s="6" t="n">
        <v>280.012010230868</v>
      </c>
      <c r="F71" s="6" t="n">
        <v>280.013799081364</v>
      </c>
      <c r="G71" s="6" t="n">
        <v>280.019712255584</v>
      </c>
      <c r="H71" s="6" t="n">
        <f aca="false">ABS(E71-B71)</f>
        <v>0.000389769132027595</v>
      </c>
      <c r="I71" s="6" t="n">
        <f aca="false">ABS(F71-B71)</f>
        <v>0.00139908136401345</v>
      </c>
      <c r="J71" s="6" t="n">
        <f aca="false">ABS(G71-B71)</f>
        <v>0.00731225558399729</v>
      </c>
    </row>
    <row r="72" customFormat="false" ht="15" hidden="false" customHeight="true" outlineLevel="0" collapsed="false">
      <c r="A72" s="3" t="n">
        <v>18</v>
      </c>
      <c r="B72" s="4" t="n">
        <v>290.0116</v>
      </c>
      <c r="C72" s="5" t="n">
        <v>5311130</v>
      </c>
      <c r="D72" s="5" t="n">
        <v>942288</v>
      </c>
      <c r="E72" s="6" t="n">
        <v>290.010588030452</v>
      </c>
      <c r="F72" s="6" t="n">
        <v>290.012312342583</v>
      </c>
      <c r="G72" s="6" t="n">
        <v>290.015801402423</v>
      </c>
      <c r="H72" s="6" t="n">
        <f aca="false">ABS(E72-B72)</f>
        <v>0.00101196954796023</v>
      </c>
      <c r="I72" s="6" t="n">
        <f aca="false">ABS(F72-B72)</f>
        <v>0.000712342583028658</v>
      </c>
      <c r="J72" s="6" t="n">
        <f aca="false">ABS(G72-B72)</f>
        <v>0.00420140242300704</v>
      </c>
    </row>
    <row r="73" customFormat="false" ht="15" hidden="false" customHeight="true" outlineLevel="0" collapsed="false">
      <c r="A73" s="3" t="n">
        <v>19.5</v>
      </c>
      <c r="B73" s="4" t="n">
        <v>1.0026</v>
      </c>
      <c r="C73" s="5" t="n">
        <v>172096</v>
      </c>
      <c r="D73" s="5" t="n">
        <v>931188</v>
      </c>
      <c r="E73" s="6" t="n">
        <v>1.00342879312593</v>
      </c>
      <c r="F73" s="6" t="n">
        <v>1.00239121630335</v>
      </c>
      <c r="G73" s="6" t="n">
        <v>1.00239125001164</v>
      </c>
      <c r="H73" s="6" t="n">
        <f aca="false">ABS(E73-B73)</f>
        <v>0.000828793125930094</v>
      </c>
      <c r="I73" s="6" t="n">
        <f aca="false">ABS(F73-B73)</f>
        <v>0.000208783696650006</v>
      </c>
      <c r="J73" s="6" t="n">
        <f aca="false">ABS(G73-B73)</f>
        <v>0.000208749988359846</v>
      </c>
    </row>
    <row r="74" customFormat="false" ht="15" hidden="false" customHeight="true" outlineLevel="0" collapsed="false">
      <c r="A74" s="3" t="n">
        <v>19.5</v>
      </c>
      <c r="B74" s="4" t="n">
        <v>10.0027</v>
      </c>
      <c r="C74" s="5" t="n">
        <v>332169</v>
      </c>
      <c r="D74" s="5" t="n">
        <v>931483</v>
      </c>
      <c r="E74" s="6" t="n">
        <v>10.0010181575873</v>
      </c>
      <c r="F74" s="6" t="n">
        <v>10.0000599486221</v>
      </c>
      <c r="G74" s="6" t="n">
        <v>9.99872889360043</v>
      </c>
      <c r="H74" s="6" t="n">
        <f aca="false">ABS(E74-B74)</f>
        <v>0.00168184241270097</v>
      </c>
      <c r="I74" s="6" t="n">
        <f aca="false">ABS(F74-B74)</f>
        <v>0.00264005137790058</v>
      </c>
      <c r="J74" s="6" t="n">
        <f aca="false">ABS(G74-B74)</f>
        <v>0.00397110639956999</v>
      </c>
    </row>
    <row r="75" customFormat="false" ht="15" hidden="false" customHeight="true" outlineLevel="0" collapsed="false">
      <c r="A75" s="3" t="n">
        <v>19.5</v>
      </c>
      <c r="B75" s="4" t="n">
        <v>20.0033</v>
      </c>
      <c r="C75" s="5" t="n">
        <v>510081</v>
      </c>
      <c r="D75" s="5" t="n">
        <v>931806</v>
      </c>
      <c r="E75" s="6" t="n">
        <v>20.0020752922828</v>
      </c>
      <c r="F75" s="6" t="n">
        <v>20.0015615222143</v>
      </c>
      <c r="G75" s="6" t="n">
        <v>19.999376508338</v>
      </c>
      <c r="H75" s="6" t="n">
        <f aca="false">ABS(E75-B75)</f>
        <v>0.00122470771719918</v>
      </c>
      <c r="I75" s="6" t="n">
        <f aca="false">ABS(F75-B75)</f>
        <v>0.00173847778570035</v>
      </c>
      <c r="J75" s="6" t="n">
        <f aca="false">ABS(G75-B75)</f>
        <v>0.00392349166200035</v>
      </c>
    </row>
    <row r="76" customFormat="false" ht="15" hidden="false" customHeight="true" outlineLevel="0" collapsed="false">
      <c r="A76" s="3" t="n">
        <v>19.5</v>
      </c>
      <c r="B76" s="4" t="n">
        <v>30.004</v>
      </c>
      <c r="C76" s="5" t="n">
        <v>687989</v>
      </c>
      <c r="D76" s="5" t="n">
        <v>932129</v>
      </c>
      <c r="E76" s="6" t="n">
        <v>30.0038812016729</v>
      </c>
      <c r="F76" s="6" t="n">
        <v>30.0037997766031</v>
      </c>
      <c r="G76" s="6" t="n">
        <v>30.0016507096463</v>
      </c>
      <c r="H76" s="6" t="n">
        <f aca="false">ABS(E76-B76)</f>
        <v>0.000118798327100933</v>
      </c>
      <c r="I76" s="6" t="n">
        <f aca="false">ABS(F76-B76)</f>
        <v>0.000200223396902288</v>
      </c>
      <c r="J76" s="6" t="n">
        <f aca="false">ABS(G76-B76)</f>
        <v>0.00234929035370257</v>
      </c>
    </row>
    <row r="77" customFormat="false" ht="15" hidden="false" customHeight="true" outlineLevel="0" collapsed="false">
      <c r="A77" s="3" t="n">
        <v>19.5</v>
      </c>
      <c r="B77" s="4" t="n">
        <v>40.0042</v>
      </c>
      <c r="C77" s="5" t="n">
        <v>865850</v>
      </c>
      <c r="D77" s="5" t="n">
        <v>932448</v>
      </c>
      <c r="E77" s="6" t="n">
        <v>40.0041454437108</v>
      </c>
      <c r="F77" s="6" t="n">
        <v>40.0046579987681</v>
      </c>
      <c r="G77" s="6" t="n">
        <v>40.0033527198791</v>
      </c>
      <c r="H77" s="6" t="n">
        <f aca="false">ABS(E77-B77)</f>
        <v>5.45562892000362E-005</v>
      </c>
      <c r="I77" s="6" t="n">
        <f aca="false">ABS(F77-B77)</f>
        <v>0.000457998768105483</v>
      </c>
      <c r="J77" s="6" t="n">
        <f aca="false">ABS(G77-B77)</f>
        <v>0.000847280120893856</v>
      </c>
    </row>
    <row r="78" customFormat="false" ht="15" hidden="false" customHeight="true" outlineLevel="0" collapsed="false">
      <c r="A78" s="3" t="n">
        <v>19.5</v>
      </c>
      <c r="B78" s="4" t="n">
        <v>50.0047</v>
      </c>
      <c r="C78" s="5" t="n">
        <v>1043683</v>
      </c>
      <c r="D78" s="5" t="n">
        <v>932759</v>
      </c>
      <c r="E78" s="6" t="n">
        <v>50.0042201713071</v>
      </c>
      <c r="F78" s="6" t="n">
        <v>50.0053254554319</v>
      </c>
      <c r="G78" s="6" t="n">
        <v>50.0049242474949</v>
      </c>
      <c r="H78" s="6" t="n">
        <f aca="false">ABS(E78-B78)</f>
        <v>0.000479828692903084</v>
      </c>
      <c r="I78" s="6" t="n">
        <f aca="false">ABS(F78-B78)</f>
        <v>0.000625455431901401</v>
      </c>
      <c r="J78" s="6" t="n">
        <f aca="false">ABS(G78-B78)</f>
        <v>0.000224247494898577</v>
      </c>
    </row>
    <row r="79" customFormat="false" ht="15" hidden="false" customHeight="true" outlineLevel="0" collapsed="false">
      <c r="A79" s="3" t="n">
        <v>19.5</v>
      </c>
      <c r="B79" s="4" t="n">
        <v>60.0036</v>
      </c>
      <c r="C79" s="5" t="n">
        <v>1221437</v>
      </c>
      <c r="D79" s="5" t="n">
        <v>933058</v>
      </c>
      <c r="E79" s="6" t="n">
        <v>60.0016743813365</v>
      </c>
      <c r="F79" s="6" t="n">
        <v>60.0032078222375</v>
      </c>
      <c r="G79" s="6" t="n">
        <v>60.003767131148</v>
      </c>
      <c r="H79" s="6" t="n">
        <f aca="false">ABS(E79-B79)</f>
        <v>0.00192561866349905</v>
      </c>
      <c r="I79" s="6" t="n">
        <f aca="false">ABS(F79-B79)</f>
        <v>0.000392177762499557</v>
      </c>
      <c r="J79" s="6" t="n">
        <f aca="false">ABS(G79-B79)</f>
        <v>0.000167131148003818</v>
      </c>
    </row>
    <row r="80" customFormat="false" ht="15" hidden="false" customHeight="true" outlineLevel="0" collapsed="false">
      <c r="A80" s="3" t="n">
        <v>19.5</v>
      </c>
      <c r="B80" s="4" t="n">
        <v>70.0035</v>
      </c>
      <c r="C80" s="5" t="n">
        <v>1399241</v>
      </c>
      <c r="D80" s="5" t="n">
        <v>933366</v>
      </c>
      <c r="E80" s="6" t="n">
        <v>70.0032419125456</v>
      </c>
      <c r="F80" s="6" t="n">
        <v>70.0036647976145</v>
      </c>
      <c r="G80" s="6" t="n">
        <v>70.0064354955876</v>
      </c>
      <c r="H80" s="6" t="n">
        <f aca="false">ABS(E80-B80)</f>
        <v>0.000258087454398037</v>
      </c>
      <c r="I80" s="6" t="n">
        <f aca="false">ABS(F80-B80)</f>
        <v>0.000164797614502277</v>
      </c>
      <c r="J80" s="6" t="n">
        <f aca="false">ABS(G80-B80)</f>
        <v>0.0029354955875931</v>
      </c>
    </row>
    <row r="81" customFormat="false" ht="15" hidden="false" customHeight="true" outlineLevel="0" collapsed="false">
      <c r="A81" s="3" t="n">
        <v>19.5</v>
      </c>
      <c r="B81" s="4" t="n">
        <v>80.0037</v>
      </c>
      <c r="C81" s="5" t="n">
        <v>1576992</v>
      </c>
      <c r="D81" s="5" t="n">
        <v>933669</v>
      </c>
      <c r="E81" s="6" t="n">
        <v>80.0036883952112</v>
      </c>
      <c r="F81" s="6" t="n">
        <v>80.0036631982887</v>
      </c>
      <c r="G81" s="6" t="n">
        <v>80.0075346635163</v>
      </c>
      <c r="H81" s="6" t="n">
        <f aca="false">ABS(E81-B81)</f>
        <v>1.16047887956938E-005</v>
      </c>
      <c r="I81" s="6" t="n">
        <f aca="false">ABS(F81-B81)</f>
        <v>3.68017112890584E-005</v>
      </c>
      <c r="J81" s="6" t="n">
        <f aca="false">ABS(G81-B81)</f>
        <v>0.00383466351630091</v>
      </c>
    </row>
    <row r="82" customFormat="false" ht="15" hidden="false" customHeight="true" outlineLevel="0" collapsed="false">
      <c r="A82" s="3" t="n">
        <v>19.5</v>
      </c>
      <c r="B82" s="4" t="n">
        <v>90.0034</v>
      </c>
      <c r="C82" s="5" t="n">
        <v>1754698</v>
      </c>
      <c r="D82" s="5" t="n">
        <v>933967</v>
      </c>
      <c r="E82" s="6" t="n">
        <v>90.0036713504581</v>
      </c>
      <c r="F82" s="6" t="n">
        <v>90.0031634354236</v>
      </c>
      <c r="G82" s="6" t="n">
        <v>90.0075516751299</v>
      </c>
      <c r="H82" s="6" t="n">
        <f aca="false">ABS(E82-B82)</f>
        <v>0.000271350458106667</v>
      </c>
      <c r="I82" s="6" t="n">
        <f aca="false">ABS(F82-B82)</f>
        <v>0.000236564576397313</v>
      </c>
      <c r="J82" s="6" t="n">
        <f aca="false">ABS(G82-B82)</f>
        <v>0.00415167512990422</v>
      </c>
    </row>
    <row r="83" customFormat="false" ht="15" hidden="false" customHeight="true" outlineLevel="0" collapsed="false">
      <c r="A83" s="3" t="n">
        <v>19.5</v>
      </c>
      <c r="B83" s="4" t="n">
        <v>100.004</v>
      </c>
      <c r="C83" s="5" t="n">
        <v>1932379</v>
      </c>
      <c r="D83" s="5" t="n">
        <v>934262</v>
      </c>
      <c r="E83" s="6" t="n">
        <v>100.004376331097</v>
      </c>
      <c r="F83" s="6" t="n">
        <v>100.003585337406</v>
      </c>
      <c r="G83" s="6" t="n">
        <v>100.007500869583</v>
      </c>
      <c r="H83" s="6" t="n">
        <f aca="false">ABS(E83-B83)</f>
        <v>0.000376331097001525</v>
      </c>
      <c r="I83" s="6" t="n">
        <f aca="false">ABS(F83-B83)</f>
        <v>0.000414662594010906</v>
      </c>
      <c r="J83" s="6" t="n">
        <f aca="false">ABS(G83-B83)</f>
        <v>0.003500869582993</v>
      </c>
    </row>
    <row r="84" customFormat="false" ht="15" hidden="false" customHeight="true" outlineLevel="0" collapsed="false">
      <c r="A84" s="3" t="n">
        <v>19.5</v>
      </c>
      <c r="B84" s="4" t="n">
        <v>110.0037</v>
      </c>
      <c r="C84" s="5" t="n">
        <v>2109960</v>
      </c>
      <c r="D84" s="5" t="n">
        <v>934542</v>
      </c>
      <c r="E84" s="6" t="n">
        <v>110.002727008957</v>
      </c>
      <c r="F84" s="6" t="n">
        <v>110.0016820283</v>
      </c>
      <c r="G84" s="6" t="n">
        <v>110.004135439107</v>
      </c>
      <c r="H84" s="6" t="n">
        <f aca="false">ABS(E84-B84)</f>
        <v>0.000972991042999638</v>
      </c>
      <c r="I84" s="6" t="n">
        <f aca="false">ABS(F84-B84)</f>
        <v>0.00201797169999907</v>
      </c>
      <c r="J84" s="6" t="n">
        <f aca="false">ABS(G84-B84)</f>
        <v>0.000435439107008051</v>
      </c>
    </row>
    <row r="85" customFormat="false" ht="15" hidden="false" customHeight="true" outlineLevel="0" collapsed="false">
      <c r="A85" s="3" t="n">
        <v>19.5</v>
      </c>
      <c r="B85" s="4" t="n">
        <v>120.0037</v>
      </c>
      <c r="C85" s="5" t="n">
        <v>2287590</v>
      </c>
      <c r="D85" s="5" t="n">
        <v>934835</v>
      </c>
      <c r="E85" s="6" t="n">
        <v>120.005002424351</v>
      </c>
      <c r="F85" s="6" t="n">
        <v>120.003562090608</v>
      </c>
      <c r="G85" s="6" t="n">
        <v>120.003562150764</v>
      </c>
      <c r="H85" s="6" t="n">
        <f aca="false">ABS(E85-B85)</f>
        <v>0.00130242435101025</v>
      </c>
      <c r="I85" s="6" t="n">
        <f aca="false">ABS(F85-B85)</f>
        <v>0.000137909391995095</v>
      </c>
      <c r="J85" s="6" t="n">
        <f aca="false">ABS(G85-B85)</f>
        <v>0.000137849235997578</v>
      </c>
    </row>
    <row r="86" customFormat="false" ht="15" hidden="false" customHeight="true" outlineLevel="0" collapsed="false">
      <c r="A86" s="3" t="n">
        <v>19.5</v>
      </c>
      <c r="B86" s="4" t="n">
        <v>130.0045</v>
      </c>
      <c r="C86" s="5" t="n">
        <v>2465102</v>
      </c>
      <c r="D86" s="5" t="n">
        <v>935114</v>
      </c>
      <c r="E86" s="6" t="n">
        <v>130.004247413091</v>
      </c>
      <c r="F86" s="6" t="n">
        <v>130.002993262674</v>
      </c>
      <c r="G86" s="6" t="n">
        <v>129.998612263221</v>
      </c>
      <c r="H86" s="6" t="n">
        <f aca="false">ABS(E86-B86)</f>
        <v>0.000252586908999319</v>
      </c>
      <c r="I86" s="6" t="n">
        <f aca="false">ABS(F86-B86)</f>
        <v>0.00150673732599671</v>
      </c>
      <c r="J86" s="6" t="n">
        <f aca="false">ABS(G86-B86)</f>
        <v>0.005887736779016</v>
      </c>
    </row>
    <row r="87" customFormat="false" ht="15" hidden="false" customHeight="true" outlineLevel="0" collapsed="false">
      <c r="A87" s="3" t="n">
        <v>19.5</v>
      </c>
      <c r="B87" s="4" t="n">
        <v>140.005</v>
      </c>
      <c r="C87" s="5" t="n">
        <v>2642569</v>
      </c>
      <c r="D87" s="5" t="n">
        <v>935395</v>
      </c>
      <c r="E87" s="6" t="n">
        <v>140.003235360629</v>
      </c>
      <c r="F87" s="6" t="n">
        <v>140.003137804542</v>
      </c>
      <c r="G87" s="6" t="n">
        <v>139.994843959305</v>
      </c>
      <c r="H87" s="6" t="n">
        <f aca="false">ABS(E87-B87)</f>
        <v>0.0017646393710038</v>
      </c>
      <c r="I87" s="6" t="n">
        <f aca="false">ABS(F87-B87)</f>
        <v>0.00186219545798849</v>
      </c>
      <c r="J87" s="6" t="n">
        <f aca="false">ABS(G87-B87)</f>
        <v>0.0101560406949943</v>
      </c>
    </row>
    <row r="88" customFormat="false" ht="15" hidden="false" customHeight="true" outlineLevel="0" collapsed="false">
      <c r="A88" s="3" t="n">
        <v>19.5</v>
      </c>
      <c r="B88" s="4" t="n">
        <v>150.0051</v>
      </c>
      <c r="C88" s="5" t="n">
        <v>2820007</v>
      </c>
      <c r="D88" s="5" t="n">
        <v>935670</v>
      </c>
      <c r="E88" s="6" t="n">
        <v>150.003850974576</v>
      </c>
      <c r="F88" s="6" t="n">
        <v>150.004397048581</v>
      </c>
      <c r="G88" s="6" t="n">
        <v>149.993972859108</v>
      </c>
      <c r="H88" s="6" t="n">
        <f aca="false">ABS(E88-B88)</f>
        <v>0.00124902542398786</v>
      </c>
      <c r="I88" s="6" t="n">
        <f aca="false">ABS(F88-B88)</f>
        <v>0.000702951418986686</v>
      </c>
      <c r="J88" s="6" t="n">
        <f aca="false">ABS(G88-B88)</f>
        <v>0.0111271408920004</v>
      </c>
    </row>
    <row r="89" customFormat="false" ht="15" hidden="false" customHeight="true" outlineLevel="0" collapsed="false">
      <c r="A89" s="3" t="n">
        <v>19.5</v>
      </c>
      <c r="B89" s="4" t="n">
        <v>160.0063</v>
      </c>
      <c r="C89" s="5" t="n">
        <v>2997374</v>
      </c>
      <c r="D89" s="5" t="n">
        <v>935939</v>
      </c>
      <c r="E89" s="6" t="n">
        <v>160.003947295825</v>
      </c>
      <c r="F89" s="6" t="n">
        <v>160.004710129919</v>
      </c>
      <c r="G89" s="6" t="n">
        <v>159.993685178828</v>
      </c>
      <c r="H89" s="6" t="n">
        <f aca="false">ABS(E89-B89)</f>
        <v>0.0023527041750242</v>
      </c>
      <c r="I89" s="6" t="n">
        <f aca="false">ABS(F89-B89)</f>
        <v>0.00158987008100553</v>
      </c>
      <c r="J89" s="6" t="n">
        <f aca="false">ABS(G89-B89)</f>
        <v>0.0126148211720079</v>
      </c>
    </row>
    <row r="90" customFormat="false" ht="15" hidden="false" customHeight="true" outlineLevel="0" collapsed="false">
      <c r="A90" s="3" t="n">
        <v>19.5</v>
      </c>
      <c r="B90" s="4" t="n">
        <v>170.0065</v>
      </c>
      <c r="C90" s="5" t="n">
        <v>3174698</v>
      </c>
      <c r="D90" s="5" t="n">
        <v>936205</v>
      </c>
      <c r="E90" s="6" t="n">
        <v>170.004908405919</v>
      </c>
      <c r="F90" s="6" t="n">
        <v>170.005293292433</v>
      </c>
      <c r="G90" s="6" t="n">
        <v>169.99561208928</v>
      </c>
      <c r="H90" s="6" t="n">
        <f aca="false">ABS(E90-B90)</f>
        <v>0.00159159408099185</v>
      </c>
      <c r="I90" s="6" t="n">
        <f aca="false">ABS(F90-B90)</f>
        <v>0.00120670756697905</v>
      </c>
      <c r="J90" s="6" t="n">
        <f aca="false">ABS(G90-B90)</f>
        <v>0.0108879107199868</v>
      </c>
    </row>
    <row r="91" customFormat="false" ht="15" hidden="false" customHeight="true" outlineLevel="0" collapsed="false">
      <c r="A91" s="3" t="n">
        <v>19.5</v>
      </c>
      <c r="B91" s="4" t="n">
        <v>180.0082</v>
      </c>
      <c r="C91" s="5" t="n">
        <v>3352009</v>
      </c>
      <c r="D91" s="5" t="n">
        <v>936467</v>
      </c>
      <c r="E91" s="6" t="n">
        <v>180.008725054077</v>
      </c>
      <c r="F91" s="6" t="n">
        <v>180.007969817788</v>
      </c>
      <c r="G91" s="6" t="n">
        <v>180.001410052377</v>
      </c>
      <c r="H91" s="6" t="n">
        <f aca="false">ABS(E91-B91)</f>
        <v>0.000525054077002096</v>
      </c>
      <c r="I91" s="6" t="n">
        <f aca="false">ABS(F91-B91)</f>
        <v>0.000230182211993224</v>
      </c>
      <c r="J91" s="6" t="n">
        <f aca="false">ABS(G91-B91)</f>
        <v>0.00678994762299112</v>
      </c>
    </row>
    <row r="92" customFormat="false" ht="15" hidden="false" customHeight="true" outlineLevel="0" collapsed="false">
      <c r="A92" s="3" t="n">
        <v>19.5</v>
      </c>
      <c r="B92" s="4" t="n">
        <v>190.0078</v>
      </c>
      <c r="C92" s="5" t="n">
        <v>3529175</v>
      </c>
      <c r="D92" s="5" t="n">
        <v>936726</v>
      </c>
      <c r="E92" s="6" t="n">
        <v>190.007924015575</v>
      </c>
      <c r="F92" s="6" t="n">
        <v>190.0071204622</v>
      </c>
      <c r="G92" s="6" t="n">
        <v>190.00296099418</v>
      </c>
      <c r="H92" s="6" t="n">
        <f aca="false">ABS(E92-B92)</f>
        <v>0.000124015575011072</v>
      </c>
      <c r="I92" s="6" t="n">
        <f aca="false">ABS(F92-B92)</f>
        <v>0.000679537800010621</v>
      </c>
      <c r="J92" s="6" t="n">
        <f aca="false">ABS(G92-B92)</f>
        <v>0.00483900582000274</v>
      </c>
    </row>
    <row r="93" customFormat="false" ht="15" hidden="false" customHeight="true" outlineLevel="0" collapsed="false">
      <c r="A93" s="3" t="n">
        <v>19.5</v>
      </c>
      <c r="B93" s="4" t="n">
        <v>200.0084</v>
      </c>
      <c r="C93" s="5" t="n">
        <v>3706295</v>
      </c>
      <c r="D93" s="5" t="n">
        <v>936979</v>
      </c>
      <c r="E93" s="6" t="n">
        <v>200.008759885073</v>
      </c>
      <c r="F93" s="6" t="n">
        <v>200.007979883123</v>
      </c>
      <c r="G93" s="6" t="n">
        <v>200.006358497792</v>
      </c>
      <c r="H93" s="6" t="n">
        <f aca="false">ABS(E93-B93)</f>
        <v>0.000359885073009991</v>
      </c>
      <c r="I93" s="6" t="n">
        <f aca="false">ABS(F93-B93)</f>
        <v>0.00042011687699528</v>
      </c>
      <c r="J93" s="6" t="n">
        <f aca="false">ABS(G93-B93)</f>
        <v>0.00204150220798738</v>
      </c>
    </row>
    <row r="94" customFormat="false" ht="15" hidden="false" customHeight="true" outlineLevel="0" collapsed="false">
      <c r="A94" s="3" t="n">
        <v>19.5</v>
      </c>
      <c r="B94" s="4" t="n">
        <v>210.0076</v>
      </c>
      <c r="C94" s="5" t="n">
        <v>3883330</v>
      </c>
      <c r="D94" s="5" t="n">
        <v>937228</v>
      </c>
      <c r="E94" s="6" t="n">
        <v>210.008880946154</v>
      </c>
      <c r="F94" s="6" t="n">
        <v>210.008619164262</v>
      </c>
      <c r="G94" s="6" t="n">
        <v>210.009087483683</v>
      </c>
      <c r="H94" s="6" t="n">
        <f aca="false">ABS(E94-B94)</f>
        <v>0.00128094615399732</v>
      </c>
      <c r="I94" s="6" t="n">
        <f aca="false">ABS(F94-B94)</f>
        <v>0.00101916426200432</v>
      </c>
      <c r="J94" s="6" t="n">
        <f aca="false">ABS(G94-B94)</f>
        <v>0.00148748368300744</v>
      </c>
    </row>
    <row r="95" customFormat="false" ht="15" hidden="false" customHeight="true" outlineLevel="0" collapsed="false">
      <c r="A95" s="3" t="n">
        <v>19.5</v>
      </c>
      <c r="B95" s="4" t="n">
        <v>220.0078</v>
      </c>
      <c r="C95" s="5" t="n">
        <v>4060288</v>
      </c>
      <c r="D95" s="5" t="n">
        <v>937476</v>
      </c>
      <c r="E95" s="6" t="n">
        <v>220.008332029687</v>
      </c>
      <c r="F95" s="6" t="n">
        <v>220.008776172127</v>
      </c>
      <c r="G95" s="6" t="n">
        <v>220.011033271474</v>
      </c>
      <c r="H95" s="6" t="n">
        <f aca="false">ABS(E95-B95)</f>
        <v>0.000532029687008162</v>
      </c>
      <c r="I95" s="6" t="n">
        <f aca="false">ABS(F95-B95)</f>
        <v>0.000976172126996744</v>
      </c>
      <c r="J95" s="6" t="n">
        <f aca="false">ABS(G95-B95)</f>
        <v>0.003233271473988</v>
      </c>
    </row>
    <row r="96" customFormat="false" ht="15" hidden="false" customHeight="true" outlineLevel="0" collapsed="false">
      <c r="A96" s="3" t="n">
        <v>19.5</v>
      </c>
      <c r="B96" s="4" t="n">
        <v>230.0086</v>
      </c>
      <c r="C96" s="5" t="n">
        <v>4237140</v>
      </c>
      <c r="D96" s="5" t="n">
        <v>937719</v>
      </c>
      <c r="E96" s="6" t="n">
        <v>230.006335809985</v>
      </c>
      <c r="F96" s="6" t="n">
        <v>230.007515019281</v>
      </c>
      <c r="G96" s="6" t="n">
        <v>230.01125954451</v>
      </c>
      <c r="H96" s="6" t="n">
        <f aca="false">ABS(E96-B96)</f>
        <v>0.00226419001501199</v>
      </c>
      <c r="I96" s="6" t="n">
        <f aca="false">ABS(F96-B96)</f>
        <v>0.00108498071901408</v>
      </c>
      <c r="J96" s="6" t="n">
        <f aca="false">ABS(G96-B96)</f>
        <v>0.00265954451000994</v>
      </c>
    </row>
    <row r="97" customFormat="false" ht="15" hidden="false" customHeight="true" outlineLevel="0" collapsed="false">
      <c r="A97" s="3" t="n">
        <v>19.5</v>
      </c>
      <c r="B97" s="4" t="n">
        <v>240.0082</v>
      </c>
      <c r="C97" s="5" t="n">
        <v>4413943</v>
      </c>
      <c r="D97" s="5" t="n">
        <v>937956</v>
      </c>
      <c r="E97" s="6" t="n">
        <v>240.006524883873</v>
      </c>
      <c r="F97" s="6" t="n">
        <v>240.008311314434</v>
      </c>
      <c r="G97" s="6" t="n">
        <v>240.013241849789</v>
      </c>
      <c r="H97" s="6" t="n">
        <f aca="false">ABS(E97-B97)</f>
        <v>0.00167511612698945</v>
      </c>
      <c r="I97" s="6" t="n">
        <f aca="false">ABS(F97-B97)</f>
        <v>0.000111314434008136</v>
      </c>
      <c r="J97" s="6" t="n">
        <f aca="false">ABS(G97-B97)</f>
        <v>0.00504184978902345</v>
      </c>
    </row>
    <row r="98" customFormat="false" ht="15" hidden="false" customHeight="true" outlineLevel="0" collapsed="false">
      <c r="A98" s="3" t="n">
        <v>19.5</v>
      </c>
      <c r="B98" s="4" t="n">
        <v>250.009</v>
      </c>
      <c r="C98" s="5" t="n">
        <v>4590694</v>
      </c>
      <c r="D98" s="5" t="n">
        <v>938190</v>
      </c>
      <c r="E98" s="6" t="n">
        <v>250.008290714111</v>
      </c>
      <c r="F98" s="6" t="n">
        <v>250.009586488109</v>
      </c>
      <c r="G98" s="6" t="n">
        <v>250.016217160045</v>
      </c>
      <c r="H98" s="6" t="n">
        <f aca="false">ABS(E98-B98)</f>
        <v>0.000709285888973454</v>
      </c>
      <c r="I98" s="6" t="n">
        <f aca="false">ABS(F98-B98)</f>
        <v>0.000586488109007632</v>
      </c>
      <c r="J98" s="6" t="n">
        <f aca="false">ABS(G98-B98)</f>
        <v>0.00721716004500195</v>
      </c>
    </row>
    <row r="99" customFormat="false" ht="15" hidden="false" customHeight="true" outlineLevel="0" collapsed="false">
      <c r="A99" s="3" t="n">
        <v>19.5</v>
      </c>
      <c r="B99" s="4" t="n">
        <v>260.0086</v>
      </c>
      <c r="C99" s="5" t="n">
        <v>4767302</v>
      </c>
      <c r="D99" s="5" t="n">
        <v>938419</v>
      </c>
      <c r="E99" s="6" t="n">
        <v>260.007038125077</v>
      </c>
      <c r="F99" s="6" t="n">
        <v>260.008116734839</v>
      </c>
      <c r="G99" s="6" t="n">
        <v>260.015435755822</v>
      </c>
      <c r="H99" s="6" t="n">
        <f aca="false">ABS(E99-B99)</f>
        <v>0.00156187492302706</v>
      </c>
      <c r="I99" s="6" t="n">
        <f aca="false">ABS(F99-B99)</f>
        <v>0.000483265160994506</v>
      </c>
      <c r="J99" s="6" t="n">
        <f aca="false">ABS(G99-B99)</f>
        <v>0.00683575582201001</v>
      </c>
    </row>
    <row r="100" customFormat="false" ht="15" hidden="false" customHeight="true" outlineLevel="0" collapsed="false">
      <c r="A100" s="3" t="n">
        <v>19.5</v>
      </c>
      <c r="B100" s="4" t="n">
        <v>270.0086</v>
      </c>
      <c r="C100" s="5" t="n">
        <v>4943864</v>
      </c>
      <c r="D100" s="5" t="n">
        <v>938644</v>
      </c>
      <c r="E100" s="6" t="n">
        <v>270.008230491857</v>
      </c>
      <c r="F100" s="6" t="n">
        <v>270.009121433027</v>
      </c>
      <c r="G100" s="6" t="n">
        <v>270.016210423754</v>
      </c>
      <c r="H100" s="6" t="n">
        <f aca="false">ABS(E100-B100)</f>
        <v>0.000369508143023722</v>
      </c>
      <c r="I100" s="6" t="n">
        <f aca="false">ABS(F100-B100)</f>
        <v>0.000521433027017793</v>
      </c>
      <c r="J100" s="6" t="n">
        <f aca="false">ABS(G100-B100)</f>
        <v>0.00761042375398802</v>
      </c>
    </row>
    <row r="101" customFormat="false" ht="15" hidden="false" customHeight="true" outlineLevel="0" collapsed="false">
      <c r="A101" s="3" t="n">
        <v>19.5</v>
      </c>
      <c r="B101" s="4" t="n">
        <v>280.0124</v>
      </c>
      <c r="C101" s="5" t="n">
        <v>5120395</v>
      </c>
      <c r="D101" s="5" t="n">
        <v>938865</v>
      </c>
      <c r="E101" s="6" t="n">
        <v>280.012878948404</v>
      </c>
      <c r="F101" s="6" t="n">
        <v>280.013609377467</v>
      </c>
      <c r="G101" s="6" t="n">
        <v>280.0194020348</v>
      </c>
      <c r="H101" s="6" t="n">
        <f aca="false">ABS(E101-B101)</f>
        <v>0.000478948404008861</v>
      </c>
      <c r="I101" s="6" t="n">
        <f aca="false">ABS(F101-B101)</f>
        <v>0.00120937746697791</v>
      </c>
      <c r="J101" s="6" t="n">
        <f aca="false">ABS(G101-B101)</f>
        <v>0.00700203479999573</v>
      </c>
    </row>
    <row r="102" customFormat="false" ht="15" hidden="false" customHeight="true" outlineLevel="0" collapsed="false">
      <c r="A102" s="3" t="n">
        <v>19.5</v>
      </c>
      <c r="B102" s="4" t="n">
        <v>290.0116</v>
      </c>
      <c r="C102" s="5" t="n">
        <v>5296752</v>
      </c>
      <c r="D102" s="5" t="n">
        <v>939085</v>
      </c>
      <c r="E102" s="6" t="n">
        <v>290.012217596723</v>
      </c>
      <c r="F102" s="6" t="n">
        <v>290.012670786236</v>
      </c>
      <c r="G102" s="6" t="n">
        <v>290.016101012732</v>
      </c>
      <c r="H102" s="6" t="n">
        <f aca="false">ABS(E102-B102)</f>
        <v>0.000617596723031966</v>
      </c>
      <c r="I102" s="6" t="n">
        <f aca="false">ABS(F102-B102)</f>
        <v>0.00107078623602774</v>
      </c>
      <c r="J102" s="6" t="n">
        <f aca="false">ABS(G102-B102)</f>
        <v>0.00450101273202108</v>
      </c>
    </row>
    <row r="103" customFormat="false" ht="15" hidden="false" customHeight="true" outlineLevel="0" collapsed="false">
      <c r="A103" s="3" t="n">
        <v>19.5</v>
      </c>
      <c r="B103" s="4" t="n">
        <v>300.0112</v>
      </c>
      <c r="C103" s="5" t="n">
        <v>5473001</v>
      </c>
      <c r="D103" s="5" t="n">
        <v>939299</v>
      </c>
      <c r="E103" s="6" t="n">
        <v>300.011393713833</v>
      </c>
      <c r="F103" s="6" t="n">
        <v>300.011305772456</v>
      </c>
      <c r="G103" s="6" t="n">
        <v>300.011305730516</v>
      </c>
      <c r="H103" s="6" t="n">
        <f aca="false">ABS(E103-B103)</f>
        <v>0.000193713833027687</v>
      </c>
      <c r="I103" s="6" t="n">
        <f aca="false">ABS(F103-B103)</f>
        <v>0.000105772456038267</v>
      </c>
      <c r="J103" s="6" t="n">
        <f aca="false">ABS(G103-B103)</f>
        <v>0.000105730516054336</v>
      </c>
    </row>
    <row r="104" customFormat="false" ht="15" hidden="false" customHeight="true" outlineLevel="0" collapsed="false">
      <c r="A104" s="3" t="n">
        <v>21</v>
      </c>
      <c r="B104" s="4" t="n">
        <v>10.0027</v>
      </c>
      <c r="C104" s="5" t="n">
        <v>332924</v>
      </c>
      <c r="D104" s="5" t="n">
        <v>928377</v>
      </c>
      <c r="E104" s="6" t="n">
        <v>9.99955533459383</v>
      </c>
      <c r="F104" s="6" t="n">
        <v>9.99977666109239</v>
      </c>
      <c r="G104" s="6" t="n">
        <v>9.99964406034326</v>
      </c>
      <c r="H104" s="6" t="n">
        <f aca="false">ABS(E104-B104)</f>
        <v>0.00314466540616998</v>
      </c>
      <c r="I104" s="6" t="n">
        <f aca="false">ABS(F104-B104)</f>
        <v>0.00292333890761043</v>
      </c>
      <c r="J104" s="6" t="n">
        <f aca="false">ABS(G104-B104)</f>
        <v>0.00305593965674156</v>
      </c>
    </row>
    <row r="105" customFormat="false" ht="15" hidden="false" customHeight="true" outlineLevel="0" collapsed="false">
      <c r="A105" s="3" t="n">
        <v>21</v>
      </c>
      <c r="B105" s="4" t="n">
        <v>20.0033</v>
      </c>
      <c r="C105" s="5" t="n">
        <v>510300</v>
      </c>
      <c r="D105" s="5" t="n">
        <v>928693</v>
      </c>
      <c r="E105" s="6" t="n">
        <v>20.0011994808457</v>
      </c>
      <c r="F105" s="6" t="n">
        <v>20.0018078345769</v>
      </c>
      <c r="G105" s="6" t="n">
        <v>20.0015899753034</v>
      </c>
      <c r="H105" s="6" t="n">
        <f aca="false">ABS(E105-B105)</f>
        <v>0.00210051915430043</v>
      </c>
      <c r="I105" s="6" t="n">
        <f aca="false">ABS(F105-B105)</f>
        <v>0.00149216542309816</v>
      </c>
      <c r="J105" s="6" t="n">
        <f aca="false">ABS(G105-B105)</f>
        <v>0.00171002469659953</v>
      </c>
    </row>
    <row r="106" customFormat="false" ht="15" hidden="false" customHeight="true" outlineLevel="0" collapsed="false">
      <c r="A106" s="3" t="n">
        <v>21</v>
      </c>
      <c r="B106" s="4" t="n">
        <v>40.0042</v>
      </c>
      <c r="C106" s="5" t="n">
        <v>864968</v>
      </c>
      <c r="D106" s="5" t="n">
        <v>929323</v>
      </c>
      <c r="E106" s="6" t="n">
        <v>40.0029083771047</v>
      </c>
      <c r="F106" s="6" t="n">
        <v>40.0051121782162</v>
      </c>
      <c r="G106" s="6" t="n">
        <v>40.0048922629484</v>
      </c>
      <c r="H106" s="6" t="n">
        <f aca="false">ABS(E106-B106)</f>
        <v>0.00129162289529461</v>
      </c>
      <c r="I106" s="6" t="n">
        <f aca="false">ABS(F106-B106)</f>
        <v>0.00091217821620404</v>
      </c>
      <c r="J106" s="6" t="n">
        <f aca="false">ABS(G106-B106)</f>
        <v>0.000692262948405187</v>
      </c>
    </row>
    <row r="107" customFormat="false" ht="15" hidden="false" customHeight="true" outlineLevel="0" collapsed="false">
      <c r="A107" s="3" t="n">
        <v>21</v>
      </c>
      <c r="B107" s="4" t="n">
        <v>50.0047</v>
      </c>
      <c r="C107" s="5" t="n">
        <v>1042260</v>
      </c>
      <c r="D107" s="5" t="n">
        <v>929631</v>
      </c>
      <c r="E107" s="6" t="n">
        <v>50.0032937174144</v>
      </c>
      <c r="F107" s="6" t="n">
        <v>50.0064013261621</v>
      </c>
      <c r="G107" s="6" t="n">
        <v>50.0062677182239</v>
      </c>
      <c r="H107" s="6" t="n">
        <f aca="false">ABS(E107-B107)</f>
        <v>0.00140628258559872</v>
      </c>
      <c r="I107" s="6" t="n">
        <f aca="false">ABS(F107-B107)</f>
        <v>0.00170132616209884</v>
      </c>
      <c r="J107" s="6" t="n">
        <f aca="false">ABS(G107-B107)</f>
        <v>0.00156771822390311</v>
      </c>
    </row>
    <row r="108" customFormat="false" ht="15" hidden="false" customHeight="true" outlineLevel="0" collapsed="false">
      <c r="A108" s="3" t="n">
        <v>21</v>
      </c>
      <c r="B108" s="4" t="n">
        <v>70.0035</v>
      </c>
      <c r="C108" s="5" t="n">
        <v>1396730</v>
      </c>
      <c r="D108" s="5" t="n">
        <v>930221</v>
      </c>
      <c r="E108" s="6" t="n">
        <v>70.0029744004768</v>
      </c>
      <c r="F108" s="6" t="n">
        <v>70.0050502838594</v>
      </c>
      <c r="G108" s="6" t="n">
        <v>70.0075476401266</v>
      </c>
      <c r="H108" s="6" t="n">
        <f aca="false">ABS(E108-B108)</f>
        <v>0.000525599523200526</v>
      </c>
      <c r="I108" s="6" t="n">
        <f aca="false">ABS(F108-B108)</f>
        <v>0.0015502838594017</v>
      </c>
      <c r="J108" s="6" t="n">
        <f aca="false">ABS(G108-B108)</f>
        <v>0.00404764012660053</v>
      </c>
    </row>
    <row r="109" customFormat="false" ht="15" hidden="false" customHeight="true" outlineLevel="0" collapsed="false">
      <c r="A109" s="3" t="n">
        <v>21</v>
      </c>
      <c r="B109" s="4" t="n">
        <v>80.0037</v>
      </c>
      <c r="C109" s="5" t="n">
        <v>1573925</v>
      </c>
      <c r="D109" s="5" t="n">
        <v>930521</v>
      </c>
      <c r="E109" s="6" t="n">
        <v>80.0028780227948</v>
      </c>
      <c r="F109" s="6" t="n">
        <v>80.0037271509384</v>
      </c>
      <c r="G109" s="6" t="n">
        <v>80.0076962713624</v>
      </c>
      <c r="H109" s="6" t="n">
        <f aca="false">ABS(E109-B109)</f>
        <v>0.000821977205191615</v>
      </c>
      <c r="I109" s="6" t="n">
        <f aca="false">ABS(F109-B109)</f>
        <v>2.71509384077717E-005</v>
      </c>
      <c r="J109" s="6" t="n">
        <f aca="false">ABS(G109-B109)</f>
        <v>0.00399627136241065</v>
      </c>
    </row>
    <row r="110" customFormat="false" ht="15" hidden="false" customHeight="true" outlineLevel="0" collapsed="false">
      <c r="A110" s="3" t="n">
        <v>21</v>
      </c>
      <c r="B110" s="4" t="n">
        <v>100.004</v>
      </c>
      <c r="C110" s="5" t="n">
        <v>1928227</v>
      </c>
      <c r="D110" s="5" t="n">
        <v>931108</v>
      </c>
      <c r="E110" s="6" t="n">
        <v>100.003884179435</v>
      </c>
      <c r="F110" s="6" t="n">
        <v>100.003397492722</v>
      </c>
      <c r="G110" s="6" t="n">
        <v>100.007367923649</v>
      </c>
      <c r="H110" s="6" t="n">
        <f aca="false">ABS(E110-B110)</f>
        <v>0.000115820565000035</v>
      </c>
      <c r="I110" s="6" t="n">
        <f aca="false">ABS(F110-B110)</f>
        <v>0.000602507278003372</v>
      </c>
      <c r="J110" s="6" t="n">
        <f aca="false">ABS(G110-B110)</f>
        <v>0.00336792364899452</v>
      </c>
    </row>
    <row r="111" customFormat="false" ht="15" hidden="false" customHeight="true" outlineLevel="0" collapsed="false">
      <c r="A111" s="3" t="n">
        <v>21</v>
      </c>
      <c r="B111" s="4" t="n">
        <v>110.0037</v>
      </c>
      <c r="C111" s="5" t="n">
        <v>2105300</v>
      </c>
      <c r="D111" s="5" t="n">
        <v>931394</v>
      </c>
      <c r="E111" s="6" t="n">
        <v>110.003519330264</v>
      </c>
      <c r="F111" s="6" t="n">
        <v>110.002594961577</v>
      </c>
      <c r="G111" s="6" t="n">
        <v>110.005077073288</v>
      </c>
      <c r="H111" s="6" t="n">
        <f aca="false">ABS(E111-B111)</f>
        <v>0.00018066973599673</v>
      </c>
      <c r="I111" s="6" t="n">
        <f aca="false">ABS(F111-B111)</f>
        <v>0.00110503842299181</v>
      </c>
      <c r="J111" s="6" t="n">
        <f aca="false">ABS(G111-B111)</f>
        <v>0.00137707328801184</v>
      </c>
    </row>
    <row r="112" customFormat="false" ht="15" hidden="false" customHeight="true" outlineLevel="0" collapsed="false">
      <c r="A112" s="3" t="n">
        <v>21</v>
      </c>
      <c r="B112" s="4" t="n">
        <v>130.0045</v>
      </c>
      <c r="C112" s="5" t="n">
        <v>2459330</v>
      </c>
      <c r="D112" s="5" t="n">
        <v>931954</v>
      </c>
      <c r="E112" s="6" t="n">
        <v>130.004025192146</v>
      </c>
      <c r="F112" s="6" t="n">
        <v>130.003383278061</v>
      </c>
      <c r="G112" s="6" t="n">
        <v>129.998987707788</v>
      </c>
      <c r="H112" s="6" t="n">
        <f aca="false">ABS(E112-B112)</f>
        <v>0.000474807854004666</v>
      </c>
      <c r="I112" s="6" t="n">
        <f aca="false">ABS(F112-B112)</f>
        <v>0.00111672193901313</v>
      </c>
      <c r="J112" s="6" t="n">
        <f aca="false">ABS(G112-B112)</f>
        <v>0.00551229221201766</v>
      </c>
    </row>
    <row r="113" customFormat="false" ht="15" hidden="false" customHeight="true" outlineLevel="0" collapsed="false">
      <c r="A113" s="3" t="n">
        <v>21</v>
      </c>
      <c r="B113" s="4" t="n">
        <v>140.005</v>
      </c>
      <c r="C113" s="5" t="n">
        <v>2636270</v>
      </c>
      <c r="D113" s="5" t="n">
        <v>932233</v>
      </c>
      <c r="E113" s="6" t="n">
        <v>140.003715120335</v>
      </c>
      <c r="F113" s="6" t="n">
        <v>140.003855064139</v>
      </c>
      <c r="G113" s="6" t="n">
        <v>139.996358413763</v>
      </c>
      <c r="H113" s="6" t="n">
        <f aca="false">ABS(E113-B113)</f>
        <v>0.00128487966500757</v>
      </c>
      <c r="I113" s="6" t="n">
        <f aca="false">ABS(F113-B113)</f>
        <v>0.00114493586099229</v>
      </c>
      <c r="J113" s="6" t="n">
        <f aca="false">ABS(G113-B113)</f>
        <v>0.00864158623699041</v>
      </c>
    </row>
    <row r="114" customFormat="false" ht="15" hidden="false" customHeight="true" outlineLevel="0" collapsed="false">
      <c r="A114" s="3" t="n">
        <v>21</v>
      </c>
      <c r="B114" s="4" t="n">
        <v>160.0063</v>
      </c>
      <c r="C114" s="5" t="n">
        <v>2990005</v>
      </c>
      <c r="D114" s="5" t="n">
        <v>932770</v>
      </c>
      <c r="E114" s="6" t="n">
        <v>160.005135115066</v>
      </c>
      <c r="F114" s="6" t="n">
        <v>160.006155692212</v>
      </c>
      <c r="G114" s="6" t="n">
        <v>159.996356196028</v>
      </c>
      <c r="H114" s="6" t="n">
        <f aca="false">ABS(E114-B114)</f>
        <v>0.00116488493401334</v>
      </c>
      <c r="I114" s="6" t="n">
        <f aca="false">ABS(F114-B114)</f>
        <v>0.00014430778801966</v>
      </c>
      <c r="J114" s="6" t="n">
        <f aca="false">ABS(G114-B114)</f>
        <v>0.00994380397202122</v>
      </c>
    </row>
    <row r="115" customFormat="false" ht="15" hidden="false" customHeight="true" outlineLevel="0" collapsed="false">
      <c r="A115" s="3" t="n">
        <v>21</v>
      </c>
      <c r="B115" s="4" t="n">
        <v>170.0065</v>
      </c>
      <c r="C115" s="5" t="n">
        <v>3166791</v>
      </c>
      <c r="D115" s="5" t="n">
        <v>933038</v>
      </c>
      <c r="E115" s="6" t="n">
        <v>170.005451212747</v>
      </c>
      <c r="F115" s="6" t="n">
        <v>170.006238492365</v>
      </c>
      <c r="G115" s="6" t="n">
        <v>169.997233980995</v>
      </c>
      <c r="H115" s="6" t="n">
        <f aca="false">ABS(E115-B115)</f>
        <v>0.00104878725298363</v>
      </c>
      <c r="I115" s="6" t="n">
        <f aca="false">ABS(F115-B115)</f>
        <v>0.000261507635002545</v>
      </c>
      <c r="J115" s="6" t="n">
        <f aca="false">ABS(G115-B115)</f>
        <v>0.00926601900499691</v>
      </c>
    </row>
    <row r="116" customFormat="false" ht="15" hidden="false" customHeight="true" outlineLevel="0" collapsed="false">
      <c r="A116" s="3" t="n">
        <v>21</v>
      </c>
      <c r="B116" s="4" t="n">
        <v>190.0078</v>
      </c>
      <c r="C116" s="5" t="n">
        <v>3520192</v>
      </c>
      <c r="D116" s="5" t="n">
        <v>933555</v>
      </c>
      <c r="E116" s="6" t="n">
        <v>190.008045834037</v>
      </c>
      <c r="F116" s="6" t="n">
        <v>190.006979045149</v>
      </c>
      <c r="G116" s="6" t="n">
        <v>190.002676250091</v>
      </c>
      <c r="H116" s="6" t="n">
        <f aca="false">ABS(E116-B116)</f>
        <v>0.000245834037002624</v>
      </c>
      <c r="I116" s="6" t="n">
        <f aca="false">ABS(F116-B116)</f>
        <v>0.000820954851008082</v>
      </c>
      <c r="J116" s="6" t="n">
        <f aca="false">ABS(G116-B116)</f>
        <v>0.00512374990898934</v>
      </c>
    </row>
    <row r="117" customFormat="false" ht="15" hidden="false" customHeight="true" outlineLevel="0" collapsed="false">
      <c r="A117" s="3" t="n">
        <v>21</v>
      </c>
      <c r="B117" s="4" t="n">
        <v>200.0084</v>
      </c>
      <c r="C117" s="5" t="n">
        <v>3696790</v>
      </c>
      <c r="D117" s="5" t="n">
        <v>933809</v>
      </c>
      <c r="E117" s="6" t="n">
        <v>200.008972654061</v>
      </c>
      <c r="F117" s="6" t="n">
        <v>200.007560925235</v>
      </c>
      <c r="G117" s="6" t="n">
        <v>200.005560611021</v>
      </c>
      <c r="H117" s="6" t="n">
        <f aca="false">ABS(E117-B117)</f>
        <v>0.00057265406101692</v>
      </c>
      <c r="I117" s="6" t="n">
        <f aca="false">ABS(F117-B117)</f>
        <v>0.000839074764996894</v>
      </c>
      <c r="J117" s="6" t="n">
        <f aca="false">ABS(G117-B117)</f>
        <v>0.00283938897899816</v>
      </c>
    </row>
    <row r="118" customFormat="false" ht="15" hidden="false" customHeight="true" outlineLevel="0" collapsed="false">
      <c r="A118" s="3" t="n">
        <v>21</v>
      </c>
      <c r="B118" s="4" t="n">
        <v>220.0078</v>
      </c>
      <c r="C118" s="5" t="n">
        <v>4049718</v>
      </c>
      <c r="D118" s="5" t="n">
        <v>934302</v>
      </c>
      <c r="E118" s="6" t="n">
        <v>220.008307373884</v>
      </c>
      <c r="F118" s="6" t="n">
        <v>220.007357059778</v>
      </c>
      <c r="G118" s="6" t="n">
        <v>220.009057327102</v>
      </c>
      <c r="H118" s="6" t="n">
        <f aca="false">ABS(E118-B118)</f>
        <v>0.000507373884005347</v>
      </c>
      <c r="I118" s="6" t="n">
        <f aca="false">ABS(F118-B118)</f>
        <v>0.000442940222001198</v>
      </c>
      <c r="J118" s="6" t="n">
        <f aca="false">ABS(G118-B118)</f>
        <v>0.001257327101996</v>
      </c>
    </row>
    <row r="119" customFormat="false" ht="15" hidden="false" customHeight="true" outlineLevel="0" collapsed="false">
      <c r="A119" s="3" t="n">
        <v>21</v>
      </c>
      <c r="B119" s="4" t="n">
        <v>230.0086</v>
      </c>
      <c r="C119" s="5" t="n">
        <v>4226070</v>
      </c>
      <c r="D119" s="5" t="n">
        <v>934543</v>
      </c>
      <c r="E119" s="6" t="n">
        <v>230.007948525341</v>
      </c>
      <c r="F119" s="6" t="n">
        <v>230.007484681135</v>
      </c>
      <c r="G119" s="6" t="n">
        <v>230.010580860073</v>
      </c>
      <c r="H119" s="6" t="n">
        <f aca="false">ABS(E119-B119)</f>
        <v>0.0006514746590085</v>
      </c>
      <c r="I119" s="6" t="n">
        <f aca="false">ABS(F119-B119)</f>
        <v>0.00111531886500416</v>
      </c>
      <c r="J119" s="6" t="n">
        <f aca="false">ABS(G119-B119)</f>
        <v>0.00198086007299025</v>
      </c>
    </row>
    <row r="120" customFormat="false" ht="15" hidden="false" customHeight="true" outlineLevel="0" collapsed="false">
      <c r="A120" s="3" t="n">
        <v>21</v>
      </c>
      <c r="B120" s="4" t="n">
        <v>250.009</v>
      </c>
      <c r="C120" s="5" t="n">
        <v>4578584</v>
      </c>
      <c r="D120" s="5" t="n">
        <v>935011</v>
      </c>
      <c r="E120" s="6" t="n">
        <v>250.010521868016</v>
      </c>
      <c r="F120" s="6" t="n">
        <v>250.009557014789</v>
      </c>
      <c r="G120" s="6" t="n">
        <v>250.015717763598</v>
      </c>
      <c r="H120" s="6" t="n">
        <f aca="false">ABS(E120-B120)</f>
        <v>0.00152186801602738</v>
      </c>
      <c r="I120" s="6" t="n">
        <f aca="false">ABS(F120-B120)</f>
        <v>0.000557014789023924</v>
      </c>
      <c r="J120" s="6" t="n">
        <f aca="false">ABS(G120-B120)</f>
        <v>0.00671776359800447</v>
      </c>
    </row>
    <row r="121" customFormat="false" ht="15" hidden="false" customHeight="true" outlineLevel="0" collapsed="false">
      <c r="A121" s="3" t="n">
        <v>21</v>
      </c>
      <c r="B121" s="4" t="n">
        <v>260.0086</v>
      </c>
      <c r="C121" s="5" t="n">
        <v>4754657</v>
      </c>
      <c r="D121" s="5" t="n">
        <v>935240</v>
      </c>
      <c r="E121" s="6" t="n">
        <v>260.008275991937</v>
      </c>
      <c r="F121" s="6" t="n">
        <v>260.006771466038</v>
      </c>
      <c r="G121" s="6" t="n">
        <v>260.01383841673</v>
      </c>
      <c r="H121" s="6" t="n">
        <f aca="false">ABS(E121-B121)</f>
        <v>0.000324008062989378</v>
      </c>
      <c r="I121" s="6" t="n">
        <f aca="false">ABS(F121-B121)</f>
        <v>0.00182853396199789</v>
      </c>
      <c r="J121" s="6" t="n">
        <f aca="false">ABS(G121-B121)</f>
        <v>0.0052384167299806</v>
      </c>
    </row>
    <row r="122" customFormat="false" ht="15" hidden="false" customHeight="true" outlineLevel="0" collapsed="false">
      <c r="A122" s="3" t="n">
        <v>21</v>
      </c>
      <c r="B122" s="4" t="n">
        <v>280.0124</v>
      </c>
      <c r="C122" s="5" t="n">
        <v>5106714</v>
      </c>
      <c r="D122" s="5" t="n">
        <v>935686</v>
      </c>
      <c r="E122" s="6" t="n">
        <v>280.013821008766</v>
      </c>
      <c r="F122" s="6" t="n">
        <v>280.011828780569</v>
      </c>
      <c r="G122" s="6" t="n">
        <v>280.017501746335</v>
      </c>
      <c r="H122" s="6" t="n">
        <f aca="false">ABS(E122-B122)</f>
        <v>0.00142100876598761</v>
      </c>
      <c r="I122" s="6" t="n">
        <f aca="false">ABS(F122-B122)</f>
        <v>0.000571219431037662</v>
      </c>
      <c r="J122" s="6" t="n">
        <f aca="false">ABS(G122-B122)</f>
        <v>0.00510174633495808</v>
      </c>
    </row>
    <row r="123" customFormat="false" ht="15" hidden="false" customHeight="true" outlineLevel="0" collapsed="false">
      <c r="A123" s="3" t="n">
        <v>21</v>
      </c>
      <c r="B123" s="4" t="n">
        <v>290.0116</v>
      </c>
      <c r="C123" s="5" t="n">
        <v>5282559</v>
      </c>
      <c r="D123" s="5" t="n">
        <v>935903</v>
      </c>
      <c r="E123" s="6" t="n">
        <v>290.013981300237</v>
      </c>
      <c r="F123" s="6" t="n">
        <v>290.011734137788</v>
      </c>
      <c r="G123" s="6" t="n">
        <v>290.015106141179</v>
      </c>
      <c r="H123" s="6" t="n">
        <f aca="false">ABS(E123-B123)</f>
        <v>0.00238130023700478</v>
      </c>
      <c r="I123" s="6" t="n">
        <f aca="false">ABS(F123-B123)</f>
        <v>0.000134137787995314</v>
      </c>
      <c r="J123" s="6" t="n">
        <f aca="false">ABS(G123-B123)</f>
        <v>0.0035061411790025</v>
      </c>
    </row>
    <row r="124" customFormat="false" ht="15" hidden="false" customHeight="true" outlineLevel="0" collapsed="false">
      <c r="A124" s="3" t="n">
        <v>22.75</v>
      </c>
      <c r="B124" s="4" t="n">
        <v>1.0026</v>
      </c>
      <c r="C124" s="5" t="n">
        <v>174880</v>
      </c>
      <c r="D124" s="5" t="n">
        <v>924298</v>
      </c>
      <c r="E124" s="6" t="n">
        <v>1.00193148915868</v>
      </c>
      <c r="F124" s="6" t="n">
        <v>1.00109986270832</v>
      </c>
      <c r="G124" s="6" t="n">
        <v>1.00109990665874</v>
      </c>
      <c r="H124" s="6" t="n">
        <f aca="false">ABS(E124-B124)</f>
        <v>0.000668510841320025</v>
      </c>
      <c r="I124" s="6" t="n">
        <f aca="false">ABS(F124-B124)</f>
        <v>0.00150013729167986</v>
      </c>
      <c r="J124" s="6" t="n">
        <f aca="false">ABS(G124-B124)</f>
        <v>0.00150009334125989</v>
      </c>
    </row>
    <row r="125" customFormat="false" ht="15" hidden="false" customHeight="true" outlineLevel="0" collapsed="false">
      <c r="A125" s="3" t="n">
        <v>22.75</v>
      </c>
      <c r="B125" s="4" t="n">
        <v>10.0027</v>
      </c>
      <c r="C125" s="5" t="n">
        <v>333903</v>
      </c>
      <c r="D125" s="5" t="n">
        <v>924642</v>
      </c>
      <c r="E125" s="6" t="n">
        <v>10.0024815835732</v>
      </c>
      <c r="F125" s="6" t="n">
        <v>10.0016054645343</v>
      </c>
      <c r="G125" s="6" t="n">
        <v>10.0013647447902</v>
      </c>
      <c r="H125" s="6" t="n">
        <f aca="false">ABS(E125-B125)</f>
        <v>0.000218416426800871</v>
      </c>
      <c r="I125" s="6" t="n">
        <f aca="false">ABS(F125-B125)</f>
        <v>0.00109453546570037</v>
      </c>
      <c r="J125" s="6" t="n">
        <f aca="false">ABS(G125-B125)</f>
        <v>0.00133525520980093</v>
      </c>
    </row>
    <row r="126" customFormat="false" ht="15" hidden="false" customHeight="true" outlineLevel="0" collapsed="false">
      <c r="A126" s="3" t="n">
        <v>22.75</v>
      </c>
      <c r="B126" s="4" t="n">
        <v>20.0033</v>
      </c>
      <c r="C126" s="5" t="n">
        <v>510591</v>
      </c>
      <c r="D126" s="5" t="n">
        <v>924946</v>
      </c>
      <c r="E126" s="6" t="n">
        <v>20.0020904950424</v>
      </c>
      <c r="F126" s="6" t="n">
        <v>20.0015679395067</v>
      </c>
      <c r="G126" s="6" t="n">
        <v>20.001108066398</v>
      </c>
      <c r="H126" s="6" t="n">
        <f aca="false">ABS(E126-B126)</f>
        <v>0.00120950495760042</v>
      </c>
      <c r="I126" s="6" t="n">
        <f aca="false">ABS(F126-B126)</f>
        <v>0.00173206049329977</v>
      </c>
      <c r="J126" s="6" t="n">
        <f aca="false">ABS(G126-B126)</f>
        <v>0.0021919336019991</v>
      </c>
    </row>
    <row r="127" customFormat="false" ht="15" hidden="false" customHeight="true" outlineLevel="0" collapsed="false">
      <c r="A127" s="3" t="n">
        <v>22.75</v>
      </c>
      <c r="B127" s="4" t="n">
        <v>30.004</v>
      </c>
      <c r="C127" s="5" t="n">
        <v>687286</v>
      </c>
      <c r="D127" s="5" t="n">
        <v>925246</v>
      </c>
      <c r="E127" s="6" t="n">
        <v>30.0032605371083</v>
      </c>
      <c r="F127" s="6" t="n">
        <v>30.0034006488448</v>
      </c>
      <c r="G127" s="6" t="n">
        <v>30.0027723302982</v>
      </c>
      <c r="H127" s="6" t="n">
        <f aca="false">ABS(E127-B127)</f>
        <v>0.000739462891701237</v>
      </c>
      <c r="I127" s="6" t="n">
        <f aca="false">ABS(F127-B127)</f>
        <v>0.000599351155202044</v>
      </c>
      <c r="J127" s="6" t="n">
        <f aca="false">ABS(G127-B127)</f>
        <v>0.00122766970180166</v>
      </c>
    </row>
    <row r="128" customFormat="false" ht="15" hidden="false" customHeight="true" outlineLevel="0" collapsed="false">
      <c r="A128" s="3" t="n">
        <v>22.75</v>
      </c>
      <c r="B128" s="4" t="n">
        <v>40.0042</v>
      </c>
      <c r="C128" s="5" t="n">
        <v>863938</v>
      </c>
      <c r="D128" s="5" t="n">
        <v>925549</v>
      </c>
      <c r="E128" s="6" t="n">
        <v>40.0032369995947</v>
      </c>
      <c r="F128" s="6" t="n">
        <v>40.004210221782</v>
      </c>
      <c r="G128" s="6" t="n">
        <v>40.0034651134829</v>
      </c>
      <c r="H128" s="6" t="n">
        <f aca="false">ABS(E128-B128)</f>
        <v>0.000963000405299397</v>
      </c>
      <c r="I128" s="6" t="n">
        <f aca="false">ABS(F128-B128)</f>
        <v>1.02217820057149E-005</v>
      </c>
      <c r="J128" s="6" t="n">
        <f aca="false">ABS(G128-B128)</f>
        <v>0.000734886517093969</v>
      </c>
    </row>
    <row r="129" customFormat="false" ht="15" hidden="false" customHeight="true" outlineLevel="0" collapsed="false">
      <c r="A129" s="3" t="n">
        <v>22.75</v>
      </c>
      <c r="B129" s="4" t="n">
        <v>50.0047</v>
      </c>
      <c r="C129" s="5" t="n">
        <v>1040586</v>
      </c>
      <c r="D129" s="5" t="n">
        <v>925847</v>
      </c>
      <c r="E129" s="6" t="n">
        <v>50.0044078868423</v>
      </c>
      <c r="F129" s="6" t="n">
        <v>50.0061578397222</v>
      </c>
      <c r="G129" s="6" t="n">
        <v>50.0054303043852</v>
      </c>
      <c r="H129" s="6" t="n">
        <f aca="false">ABS(E129-B129)</f>
        <v>0.000292113157698282</v>
      </c>
      <c r="I129" s="6" t="n">
        <f aca="false">ABS(F129-B129)</f>
        <v>0.00145783972219959</v>
      </c>
      <c r="J129" s="6" t="n">
        <f aca="false">ABS(G129-B129)</f>
        <v>0.000730304385200498</v>
      </c>
    </row>
    <row r="130" customFormat="false" ht="15" hidden="false" customHeight="true" outlineLevel="0" collapsed="false">
      <c r="A130" s="3" t="n">
        <v>22.75</v>
      </c>
      <c r="B130" s="4" t="n">
        <v>60.0036</v>
      </c>
      <c r="C130" s="5" t="n">
        <v>1217110</v>
      </c>
      <c r="D130" s="5" t="n">
        <v>926115</v>
      </c>
      <c r="E130" s="6" t="n">
        <v>60.0010593253063</v>
      </c>
      <c r="F130" s="6" t="n">
        <v>60.0035400085336</v>
      </c>
      <c r="G130" s="6" t="n">
        <v>60.0028006322071</v>
      </c>
      <c r="H130" s="6" t="n">
        <f aca="false">ABS(E130-B130)</f>
        <v>0.00254067469369801</v>
      </c>
      <c r="I130" s="6" t="n">
        <f aca="false">ABS(F130-B130)</f>
        <v>5.99914664007883E-005</v>
      </c>
      <c r="J130" s="6" t="n">
        <f aca="false">ABS(G130-B130)</f>
        <v>0.000799367792900796</v>
      </c>
    </row>
    <row r="131" customFormat="false" ht="15" hidden="false" customHeight="true" outlineLevel="0" collapsed="false">
      <c r="A131" s="3" t="n">
        <v>22.75</v>
      </c>
      <c r="B131" s="4" t="n">
        <v>70.0035</v>
      </c>
      <c r="C131" s="5" t="n">
        <v>1393709</v>
      </c>
      <c r="D131" s="5" t="n">
        <v>926414</v>
      </c>
      <c r="E131" s="6" t="n">
        <v>70.0026775748621</v>
      </c>
      <c r="F131" s="6" t="n">
        <v>70.0029517172879</v>
      </c>
      <c r="G131" s="6" t="n">
        <v>70.0049334595914</v>
      </c>
      <c r="H131" s="6" t="n">
        <f aca="false">ABS(E131-B131)</f>
        <v>0.000822425137897653</v>
      </c>
      <c r="I131" s="6" t="n">
        <f aca="false">ABS(F131-B131)</f>
        <v>0.000548282712102832</v>
      </c>
      <c r="J131" s="6" t="n">
        <f aca="false">ABS(G131-B131)</f>
        <v>0.00143345959139651</v>
      </c>
    </row>
    <row r="132" customFormat="false" ht="15" hidden="false" customHeight="true" outlineLevel="0" collapsed="false">
      <c r="A132" s="3" t="n">
        <v>22.75</v>
      </c>
      <c r="B132" s="4" t="n">
        <v>80.0037</v>
      </c>
      <c r="C132" s="5" t="n">
        <v>1570244</v>
      </c>
      <c r="D132" s="5" t="n">
        <v>926706</v>
      </c>
      <c r="E132" s="6" t="n">
        <v>80.0026122249912</v>
      </c>
      <c r="F132" s="6" t="n">
        <v>80.0013121905779</v>
      </c>
      <c r="G132" s="6" t="n">
        <v>80.0050166766458</v>
      </c>
      <c r="H132" s="6" t="n">
        <f aca="false">ABS(E132-B132)</f>
        <v>0.00108777500879853</v>
      </c>
      <c r="I132" s="6" t="n">
        <f aca="false">ABS(F132-B132)</f>
        <v>0.00238780942208905</v>
      </c>
      <c r="J132" s="6" t="n">
        <f aca="false">ABS(G132-B132)</f>
        <v>0.00131667664579993</v>
      </c>
    </row>
    <row r="133" customFormat="false" ht="15" hidden="false" customHeight="true" outlineLevel="0" collapsed="false">
      <c r="A133" s="3" t="n">
        <v>22.75</v>
      </c>
      <c r="B133" s="4" t="n">
        <v>90.0034</v>
      </c>
      <c r="C133" s="5" t="n">
        <v>1746803</v>
      </c>
      <c r="D133" s="5" t="n">
        <v>926997</v>
      </c>
      <c r="E133" s="6" t="n">
        <v>90.0057366904163</v>
      </c>
      <c r="F133" s="6" t="n">
        <v>90.0033444575206</v>
      </c>
      <c r="G133" s="6" t="n">
        <v>90.0077729401981</v>
      </c>
      <c r="H133" s="6" t="n">
        <f aca="false">ABS(E133-B133)</f>
        <v>0.0023366904162998</v>
      </c>
      <c r="I133" s="6" t="n">
        <f aca="false">ABS(F133-B133)</f>
        <v>5.5542479401538E-005</v>
      </c>
      <c r="J133" s="6" t="n">
        <f aca="false">ABS(G133-B133)</f>
        <v>0.00437294019809542</v>
      </c>
    </row>
    <row r="134" customFormat="false" ht="15" hidden="false" customHeight="true" outlineLevel="0" collapsed="false">
      <c r="A134" s="3" t="n">
        <v>22.75</v>
      </c>
      <c r="B134" s="4" t="n">
        <v>100.004</v>
      </c>
      <c r="C134" s="5" t="n">
        <v>1923228</v>
      </c>
      <c r="D134" s="5" t="n">
        <v>927282</v>
      </c>
      <c r="E134" s="6" t="n">
        <v>100.003541370134</v>
      </c>
      <c r="F134" s="6" t="n">
        <v>100.000383384429</v>
      </c>
      <c r="G134" s="6" t="n">
        <v>100.005141353917</v>
      </c>
      <c r="H134" s="6" t="n">
        <f aca="false">ABS(E134-B134)</f>
        <v>0.00045862986600298</v>
      </c>
      <c r="I134" s="6" t="n">
        <f aca="false">ABS(F134-B134)</f>
        <v>0.0036166155710049</v>
      </c>
      <c r="J134" s="6" t="n">
        <f aca="false">ABS(G134-B134)</f>
        <v>0.00114135391699222</v>
      </c>
    </row>
    <row r="135" customFormat="false" ht="15" hidden="false" customHeight="true" outlineLevel="0" collapsed="false">
      <c r="A135" s="3" t="n">
        <v>22.75</v>
      </c>
      <c r="B135" s="4" t="n">
        <v>110.0037</v>
      </c>
      <c r="C135" s="5" t="n">
        <v>2099655</v>
      </c>
      <c r="D135" s="5" t="n">
        <v>927564</v>
      </c>
      <c r="E135" s="6" t="n">
        <v>110.003729318863</v>
      </c>
      <c r="F135" s="6" t="n">
        <v>110.000983385423</v>
      </c>
      <c r="G135" s="6" t="n">
        <v>110.004277323212</v>
      </c>
      <c r="H135" s="6" t="n">
        <f aca="false">ABS(E135-B135)</f>
        <v>2.93188629996166E-005</v>
      </c>
      <c r="I135" s="6" t="n">
        <f aca="false">ABS(F135-B135)</f>
        <v>0.00271661457699679</v>
      </c>
      <c r="J135" s="6" t="n">
        <f aca="false">ABS(G135-B135)</f>
        <v>0.000577323211999214</v>
      </c>
    </row>
    <row r="136" customFormat="false" ht="15" hidden="false" customHeight="true" outlineLevel="0" collapsed="false">
      <c r="A136" s="3" t="n">
        <v>22.75</v>
      </c>
      <c r="B136" s="4" t="n">
        <v>120.0037</v>
      </c>
      <c r="C136" s="5" t="n">
        <v>2276055</v>
      </c>
      <c r="D136" s="5" t="n">
        <v>927840</v>
      </c>
      <c r="E136" s="6" t="n">
        <v>120.005080367897</v>
      </c>
      <c r="F136" s="6" t="n">
        <v>120.003777912896</v>
      </c>
      <c r="G136" s="6" t="n">
        <v>120.003777872559</v>
      </c>
      <c r="H136" s="6" t="n">
        <f aca="false">ABS(E136-B136)</f>
        <v>0.00138036789699925</v>
      </c>
      <c r="I136" s="6" t="n">
        <f aca="false">ABS(F136-B136)</f>
        <v>7.79128960033404E-005</v>
      </c>
      <c r="J136" s="6" t="n">
        <f aca="false">ABS(G136-B136)</f>
        <v>7.78725590038221E-005</v>
      </c>
    </row>
    <row r="137" customFormat="false" ht="15" hidden="false" customHeight="true" outlineLevel="0" collapsed="false">
      <c r="A137" s="3" t="n">
        <v>22.75</v>
      </c>
      <c r="B137" s="4" t="n">
        <v>130.0045</v>
      </c>
      <c r="C137" s="5" t="n">
        <v>2452366</v>
      </c>
      <c r="D137" s="5" t="n">
        <v>928116</v>
      </c>
      <c r="E137" s="6" t="n">
        <v>130.003684117492</v>
      </c>
      <c r="F137" s="6" t="n">
        <v>130.002887404769</v>
      </c>
      <c r="G137" s="6" t="n">
        <v>129.99835956987</v>
      </c>
      <c r="H137" s="6" t="n">
        <f aca="false">ABS(E137-B137)</f>
        <v>0.000815882507993138</v>
      </c>
      <c r="I137" s="6" t="n">
        <f aca="false">ABS(F137-B137)</f>
        <v>0.00161259523099488</v>
      </c>
      <c r="J137" s="6" t="n">
        <f aca="false">ABS(G137-B137)</f>
        <v>0.00614043013001719</v>
      </c>
    </row>
    <row r="138" customFormat="false" ht="15" hidden="false" customHeight="true" outlineLevel="0" collapsed="false">
      <c r="A138" s="3" t="n">
        <v>22.75</v>
      </c>
      <c r="B138" s="4" t="n">
        <v>140.005</v>
      </c>
      <c r="C138" s="5" t="n">
        <v>2628698</v>
      </c>
      <c r="D138" s="5" t="n">
        <v>928393</v>
      </c>
      <c r="E138" s="6" t="n">
        <v>140.005741288673</v>
      </c>
      <c r="F138" s="6" t="n">
        <v>140.005539610613</v>
      </c>
      <c r="G138" s="6" t="n">
        <v>139.997782259047</v>
      </c>
      <c r="H138" s="6" t="n">
        <f aca="false">ABS(E138-B138)</f>
        <v>0.000741288672998053</v>
      </c>
      <c r="I138" s="6" t="n">
        <f aca="false">ABS(F138-B138)</f>
        <v>0.000539610613003561</v>
      </c>
      <c r="J138" s="6" t="n">
        <f aca="false">ABS(G138-B138)</f>
        <v>0.00721774095299566</v>
      </c>
    </row>
    <row r="139" customFormat="false" ht="15" hidden="false" customHeight="true" outlineLevel="0" collapsed="false">
      <c r="A139" s="3" t="n">
        <v>22.75</v>
      </c>
      <c r="B139" s="4" t="n">
        <v>150.0051</v>
      </c>
      <c r="C139" s="5" t="n">
        <v>2804908</v>
      </c>
      <c r="D139" s="5" t="n">
        <v>928661</v>
      </c>
      <c r="E139" s="6" t="n">
        <v>150.004362628521</v>
      </c>
      <c r="F139" s="6" t="n">
        <v>150.004683709759</v>
      </c>
      <c r="G139" s="6" t="n">
        <v>149.994998441816</v>
      </c>
      <c r="H139" s="6" t="n">
        <f aca="false">ABS(E139-B139)</f>
        <v>0.000737371479004878</v>
      </c>
      <c r="I139" s="6" t="n">
        <f aca="false">ABS(F139-B139)</f>
        <v>0.000416290240991657</v>
      </c>
      <c r="J139" s="6" t="n">
        <f aca="false">ABS(G139-B139)</f>
        <v>0.0101015581840045</v>
      </c>
    </row>
    <row r="140" customFormat="false" ht="15" hidden="false" customHeight="true" outlineLevel="0" collapsed="false">
      <c r="A140" s="3" t="n">
        <v>22.75</v>
      </c>
      <c r="B140" s="4" t="n">
        <v>160.0063</v>
      </c>
      <c r="C140" s="5" t="n">
        <v>2981145</v>
      </c>
      <c r="D140" s="5" t="n">
        <v>928923</v>
      </c>
      <c r="E140" s="6" t="n">
        <v>160.00794891346</v>
      </c>
      <c r="F140" s="6" t="n">
        <v>160.008559043366</v>
      </c>
      <c r="G140" s="6" t="n">
        <v>159.998247573183</v>
      </c>
      <c r="H140" s="6" t="n">
        <f aca="false">ABS(E140-B140)</f>
        <v>0.00164891346000218</v>
      </c>
      <c r="I140" s="6" t="n">
        <f aca="false">ABS(F140-B140)</f>
        <v>0.00225904336599569</v>
      </c>
      <c r="J140" s="6" t="n">
        <f aca="false">ABS(G140-B140)</f>
        <v>0.00805242681701657</v>
      </c>
    </row>
    <row r="141" customFormat="false" ht="15" hidden="false" customHeight="true" outlineLevel="0" collapsed="false">
      <c r="A141" s="3" t="n">
        <v>22.75</v>
      </c>
      <c r="B141" s="4" t="n">
        <v>170.0065</v>
      </c>
      <c r="C141" s="5" t="n">
        <v>3157249</v>
      </c>
      <c r="D141" s="5" t="n">
        <v>929185</v>
      </c>
      <c r="E141" s="6" t="n">
        <v>170.006768466493</v>
      </c>
      <c r="F141" s="6" t="n">
        <v>170.007660539251</v>
      </c>
      <c r="G141" s="6" t="n">
        <v>169.997638642011</v>
      </c>
      <c r="H141" s="6" t="n">
        <f aca="false">ABS(E141-B141)</f>
        <v>0.000268466493025699</v>
      </c>
      <c r="I141" s="6" t="n">
        <f aca="false">ABS(F141-B141)</f>
        <v>0.00116053925100346</v>
      </c>
      <c r="J141" s="6" t="n">
        <f aca="false">ABS(G141-B141)</f>
        <v>0.0088613579889909</v>
      </c>
    </row>
    <row r="142" customFormat="false" ht="15" hidden="false" customHeight="true" outlineLevel="0" collapsed="false">
      <c r="A142" s="3" t="n">
        <v>22.75</v>
      </c>
      <c r="B142" s="4" t="n">
        <v>180.0082</v>
      </c>
      <c r="C142" s="5" t="n">
        <v>3333334</v>
      </c>
      <c r="D142" s="5" t="n">
        <v>929446</v>
      </c>
      <c r="E142" s="6" t="n">
        <v>180.007519293988</v>
      </c>
      <c r="F142" s="6" t="n">
        <v>180.008436632812</v>
      </c>
      <c r="G142" s="6" t="n">
        <v>179.999707980323</v>
      </c>
      <c r="H142" s="6" t="n">
        <f aca="false">ABS(E142-B142)</f>
        <v>0.000680706011991106</v>
      </c>
      <c r="I142" s="6" t="n">
        <f aca="false">ABS(F142-B142)</f>
        <v>0.0002366328120047</v>
      </c>
      <c r="J142" s="6" t="n">
        <f aca="false">ABS(G142-B142)</f>
        <v>0.00849201967699287</v>
      </c>
    </row>
    <row r="143" customFormat="false" ht="15" hidden="false" customHeight="true" outlineLevel="0" collapsed="false">
      <c r="A143" s="3" t="n">
        <v>22.75</v>
      </c>
      <c r="B143" s="4" t="n">
        <v>190.0078</v>
      </c>
      <c r="C143" s="5" t="n">
        <v>3509329</v>
      </c>
      <c r="D143" s="5" t="n">
        <v>929699</v>
      </c>
      <c r="E143" s="6" t="n">
        <v>190.007354923178</v>
      </c>
      <c r="F143" s="6" t="n">
        <v>190.007244376385</v>
      </c>
      <c r="G143" s="6" t="n">
        <v>190.001446285295</v>
      </c>
      <c r="H143" s="6" t="n">
        <f aca="false">ABS(E143-B143)</f>
        <v>0.000445076821989687</v>
      </c>
      <c r="I143" s="6" t="n">
        <f aca="false">ABS(F143-B143)</f>
        <v>0.000555623615014156</v>
      </c>
      <c r="J143" s="6" t="n">
        <f aca="false">ABS(G143-B143)</f>
        <v>0.0063537147049999</v>
      </c>
    </row>
    <row r="144" customFormat="false" ht="15" hidden="false" customHeight="true" outlineLevel="0" collapsed="false">
      <c r="A144" s="3" t="n">
        <v>22.75</v>
      </c>
      <c r="B144" s="4" t="n">
        <v>200.0084</v>
      </c>
      <c r="C144" s="5" t="n">
        <v>3685295</v>
      </c>
      <c r="D144" s="5" t="n">
        <v>929946</v>
      </c>
      <c r="E144" s="6" t="n">
        <v>200.009695638061</v>
      </c>
      <c r="F144" s="6" t="n">
        <v>200.009282337305</v>
      </c>
      <c r="G144" s="6" t="n">
        <v>200.006113660644</v>
      </c>
      <c r="H144" s="6" t="n">
        <f aca="false">ABS(E144-B144)</f>
        <v>0.00129563806100919</v>
      </c>
      <c r="I144" s="6" t="n">
        <f aca="false">ABS(F144-B144)</f>
        <v>0.000882337305000647</v>
      </c>
      <c r="J144" s="6" t="n">
        <f aca="false">ABS(G144-B144)</f>
        <v>0.00228633935600442</v>
      </c>
    </row>
    <row r="145" customFormat="false" ht="15" hidden="false" customHeight="true" outlineLevel="0" collapsed="false">
      <c r="A145" s="3" t="n">
        <v>22.75</v>
      </c>
      <c r="B145" s="4" t="n">
        <v>210.0076</v>
      </c>
      <c r="C145" s="5" t="n">
        <v>3861133</v>
      </c>
      <c r="D145" s="5" t="n">
        <v>930193</v>
      </c>
      <c r="E145" s="6" t="n">
        <v>210.008037662184</v>
      </c>
      <c r="F145" s="6" t="n">
        <v>210.007884600188</v>
      </c>
      <c r="G145" s="6" t="n">
        <v>210.007042695564</v>
      </c>
      <c r="H145" s="6" t="n">
        <f aca="false">ABS(E145-B145)</f>
        <v>0.0004376621839981</v>
      </c>
      <c r="I145" s="6" t="n">
        <f aca="false">ABS(F145-B145)</f>
        <v>0.00028460018799592</v>
      </c>
      <c r="J145" s="6" t="n">
        <f aca="false">ABS(G145-B145)</f>
        <v>0.00055730443600055</v>
      </c>
    </row>
    <row r="146" customFormat="false" ht="15" hidden="false" customHeight="true" outlineLevel="0" collapsed="false">
      <c r="A146" s="3" t="n">
        <v>22.75</v>
      </c>
      <c r="B146" s="4" t="n">
        <v>220.0078</v>
      </c>
      <c r="C146" s="5" t="n">
        <v>4036926</v>
      </c>
      <c r="D146" s="5" t="n">
        <v>930436</v>
      </c>
      <c r="E146" s="6" t="n">
        <v>220.007921912796</v>
      </c>
      <c r="F146" s="6" t="n">
        <v>220.008431347522</v>
      </c>
      <c r="G146" s="6" t="n">
        <v>220.009613880304</v>
      </c>
      <c r="H146" s="6" t="n">
        <f aca="false">ABS(E146-B146)</f>
        <v>0.000121912796004153</v>
      </c>
      <c r="I146" s="6" t="n">
        <f aca="false">ABS(F146-B146)</f>
        <v>0.000631347521988346</v>
      </c>
      <c r="J146" s="6" t="n">
        <f aca="false">ABS(G146-B146)</f>
        <v>0.00181388030398466</v>
      </c>
    </row>
    <row r="147" customFormat="false" ht="15" hidden="false" customHeight="true" outlineLevel="0" collapsed="false">
      <c r="A147" s="3" t="n">
        <v>22.75</v>
      </c>
      <c r="B147" s="4" t="n">
        <v>230.0086</v>
      </c>
      <c r="C147" s="5" t="n">
        <v>4212639</v>
      </c>
      <c r="D147" s="5" t="n">
        <v>930676</v>
      </c>
      <c r="E147" s="6" t="n">
        <v>230.007313638534</v>
      </c>
      <c r="F147" s="6" t="n">
        <v>230.008247667263</v>
      </c>
      <c r="G147" s="6" t="n">
        <v>230.011630047906</v>
      </c>
      <c r="H147" s="6" t="n">
        <f aca="false">ABS(E147-B147)</f>
        <v>0.0012863614660148</v>
      </c>
      <c r="I147" s="6" t="n">
        <f aca="false">ABS(F147-B147)</f>
        <v>0.000352332737008965</v>
      </c>
      <c r="J147" s="6" t="n">
        <f aca="false">ABS(G147-B147)</f>
        <v>0.0030300479060088</v>
      </c>
    </row>
    <row r="148" customFormat="false" ht="15" hidden="false" customHeight="true" outlineLevel="0" collapsed="false">
      <c r="A148" s="3" t="n">
        <v>22.75</v>
      </c>
      <c r="B148" s="4" t="n">
        <v>240.0082</v>
      </c>
      <c r="C148" s="5" t="n">
        <v>4388295</v>
      </c>
      <c r="D148" s="5" t="n">
        <v>930912</v>
      </c>
      <c r="E148" s="6" t="n">
        <v>240.007867979908</v>
      </c>
      <c r="F148" s="6" t="n">
        <v>240.008237173979</v>
      </c>
      <c r="G148" s="6" t="n">
        <v>240.014586041359</v>
      </c>
      <c r="H148" s="6" t="n">
        <f aca="false">ABS(E148-B148)</f>
        <v>0.000332020091974528</v>
      </c>
      <c r="I148" s="6" t="n">
        <f aca="false">ABS(F148-B148)</f>
        <v>3.71739790239189E-005</v>
      </c>
      <c r="J148" s="6" t="n">
        <f aca="false">ABS(G148-B148)</f>
        <v>0.00638604135900778</v>
      </c>
    </row>
    <row r="149" customFormat="false" ht="15" hidden="false" customHeight="true" outlineLevel="0" collapsed="false">
      <c r="A149" s="3" t="n">
        <v>22.75</v>
      </c>
      <c r="B149" s="4" t="n">
        <v>250.009</v>
      </c>
      <c r="C149" s="5" t="n">
        <v>4563871</v>
      </c>
      <c r="D149" s="5" t="n">
        <v>931144</v>
      </c>
      <c r="E149" s="6" t="n">
        <v>250.008429675491</v>
      </c>
      <c r="F149" s="6" t="n">
        <v>250.007974965867</v>
      </c>
      <c r="G149" s="6" t="n">
        <v>250.017165879677</v>
      </c>
      <c r="H149" s="6" t="n">
        <f aca="false">ABS(E149-B149)</f>
        <v>0.000570324508998965</v>
      </c>
      <c r="I149" s="6" t="n">
        <f aca="false">ABS(F149-B149)</f>
        <v>0.0010250341329936</v>
      </c>
      <c r="J149" s="6" t="n">
        <f aca="false">ABS(G149-B149)</f>
        <v>0.00816587967702276</v>
      </c>
    </row>
    <row r="150" customFormat="false" ht="15" hidden="false" customHeight="true" outlineLevel="0" collapsed="false">
      <c r="A150" s="3" t="n">
        <v>22.75</v>
      </c>
      <c r="B150" s="4" t="n">
        <v>260.0086</v>
      </c>
      <c r="C150" s="5" t="n">
        <v>4739332</v>
      </c>
      <c r="D150" s="5" t="n">
        <v>931372</v>
      </c>
      <c r="E150" s="6" t="n">
        <v>260.007151933823</v>
      </c>
      <c r="F150" s="6" t="n">
        <v>260.006399219462</v>
      </c>
      <c r="G150" s="6" t="n">
        <v>260.017088302398</v>
      </c>
      <c r="H150" s="6" t="n">
        <f aca="false">ABS(E150-B150)</f>
        <v>0.00144806617697668</v>
      </c>
      <c r="I150" s="6" t="n">
        <f aca="false">ABS(F150-B150)</f>
        <v>0.00220078053797579</v>
      </c>
      <c r="J150" s="6" t="n">
        <f aca="false">ABS(G150-B150)</f>
        <v>0.00848830239800691</v>
      </c>
    </row>
    <row r="151" customFormat="false" ht="15" hidden="false" customHeight="true" outlineLevel="0" collapsed="false">
      <c r="A151" s="3" t="n">
        <v>22.75</v>
      </c>
      <c r="B151" s="4" t="n">
        <v>270.0086</v>
      </c>
      <c r="C151" s="5" t="n">
        <v>4914752</v>
      </c>
      <c r="D151" s="5" t="n">
        <v>931595</v>
      </c>
      <c r="E151" s="6" t="n">
        <v>270.008665718861</v>
      </c>
      <c r="F151" s="6" t="n">
        <v>270.007983757869</v>
      </c>
      <c r="G151" s="6" t="n">
        <v>270.018433510779</v>
      </c>
      <c r="H151" s="6" t="n">
        <f aca="false">ABS(E151-B151)</f>
        <v>6.57188609807236E-005</v>
      </c>
      <c r="I151" s="6" t="n">
        <f aca="false">ABS(F151-B151)</f>
        <v>0.000616242131002309</v>
      </c>
      <c r="J151" s="6" t="n">
        <f aca="false">ABS(G151-B151)</f>
        <v>0.00983351077900352</v>
      </c>
    </row>
    <row r="152" customFormat="false" ht="15" hidden="false" customHeight="true" outlineLevel="0" collapsed="false">
      <c r="A152" s="3" t="n">
        <v>22.75</v>
      </c>
      <c r="B152" s="4" t="n">
        <v>280.0124</v>
      </c>
      <c r="C152" s="5" t="n">
        <v>5090146</v>
      </c>
      <c r="D152" s="5" t="n">
        <v>931816</v>
      </c>
      <c r="E152" s="6" t="n">
        <v>280.013286628775</v>
      </c>
      <c r="F152" s="6" t="n">
        <v>280.012886827711</v>
      </c>
      <c r="G152" s="6" t="n">
        <v>280.021486680181</v>
      </c>
      <c r="H152" s="6" t="n">
        <f aca="false">ABS(E152-B152)</f>
        <v>0.00088662877499246</v>
      </c>
      <c r="I152" s="6" t="n">
        <f aca="false">ABS(F152-B152)</f>
        <v>0.000486827710972193</v>
      </c>
      <c r="J152" s="6" t="n">
        <f aca="false">ABS(G152-B152)</f>
        <v>0.00908668018098524</v>
      </c>
    </row>
    <row r="153" customFormat="false" ht="15" hidden="false" customHeight="true" outlineLevel="0" collapsed="false">
      <c r="A153" s="3" t="n">
        <v>22.75</v>
      </c>
      <c r="B153" s="4" t="n">
        <v>290.0116</v>
      </c>
      <c r="C153" s="5" t="n">
        <v>5265352</v>
      </c>
      <c r="D153" s="5" t="n">
        <v>932032</v>
      </c>
      <c r="E153" s="6" t="n">
        <v>290.012583259989</v>
      </c>
      <c r="F153" s="6" t="n">
        <v>290.012701057537</v>
      </c>
      <c r="G153" s="6" t="n">
        <v>290.017662515356</v>
      </c>
      <c r="H153" s="6" t="n">
        <f aca="false">ABS(E153-B153)</f>
        <v>0.000983259989027374</v>
      </c>
      <c r="I153" s="6" t="n">
        <f aca="false">ABS(F153-B153)</f>
        <v>0.00110105753702783</v>
      </c>
      <c r="J153" s="6" t="n">
        <f aca="false">ABS(G153-B153)</f>
        <v>0.00606251535600677</v>
      </c>
    </row>
    <row r="154" customFormat="false" ht="15" hidden="false" customHeight="true" outlineLevel="0" collapsed="false">
      <c r="A154" s="3" t="n">
        <v>22.75</v>
      </c>
      <c r="B154" s="4" t="n">
        <v>300.0112</v>
      </c>
      <c r="C154" s="5" t="n">
        <v>5440455</v>
      </c>
      <c r="D154" s="5" t="n">
        <v>932244</v>
      </c>
      <c r="E154" s="6" t="n">
        <v>300.011345240028</v>
      </c>
      <c r="F154" s="6" t="n">
        <v>300.011524086409</v>
      </c>
      <c r="G154" s="6" t="n">
        <v>300.011593655887</v>
      </c>
      <c r="H154" s="6" t="n">
        <f aca="false">ABS(E154-B154)</f>
        <v>0.000145240028018634</v>
      </c>
      <c r="I154" s="6" t="n">
        <f aca="false">ABS(F154-B154)</f>
        <v>0.000324086409023039</v>
      </c>
      <c r="J154" s="6" t="n">
        <f aca="false">ABS(G154-B154)</f>
        <v>0.00039365588702367</v>
      </c>
    </row>
    <row r="155" customFormat="false" ht="15" hidden="false" customHeight="true" outlineLevel="0" collapsed="false">
      <c r="A155" s="3" t="n">
        <v>24.5</v>
      </c>
      <c r="B155" s="4" t="n">
        <v>10.0027</v>
      </c>
      <c r="C155" s="5" t="n">
        <v>334850</v>
      </c>
      <c r="D155" s="5" t="n">
        <v>920895</v>
      </c>
      <c r="E155" s="6" t="n">
        <v>10.0041616735843</v>
      </c>
      <c r="F155" s="6" t="n">
        <v>10.003083783069</v>
      </c>
      <c r="G155" s="6" t="n">
        <v>10.0027154478902</v>
      </c>
      <c r="H155" s="6" t="n">
        <f aca="false">ABS(E155-B155)</f>
        <v>0.0014616735842985</v>
      </c>
      <c r="I155" s="6" t="n">
        <f aca="false">ABS(F155-B155)</f>
        <v>0.000383783068999222</v>
      </c>
      <c r="J155" s="6" t="n">
        <f aca="false">ABS(G155-B155)</f>
        <v>1.54478901990274E-005</v>
      </c>
    </row>
    <row r="156" customFormat="false" ht="15" hidden="false" customHeight="true" outlineLevel="0" collapsed="false">
      <c r="A156" s="3" t="n">
        <v>24.5</v>
      </c>
      <c r="B156" s="4" t="n">
        <v>20.0033</v>
      </c>
      <c r="C156" s="5" t="n">
        <v>510869</v>
      </c>
      <c r="D156" s="5" t="n">
        <v>921188</v>
      </c>
      <c r="E156" s="6" t="n">
        <v>20.0026422222438</v>
      </c>
      <c r="F156" s="6" t="n">
        <v>20.0021442018831</v>
      </c>
      <c r="G156" s="6" t="n">
        <v>20.0014149829238</v>
      </c>
      <c r="H156" s="6" t="n">
        <f aca="false">ABS(E156-B156)</f>
        <v>0.000657777756199351</v>
      </c>
      <c r="I156" s="6" t="n">
        <f aca="false">ABS(F156-B156)</f>
        <v>0.0011557981168977</v>
      </c>
      <c r="J156" s="6" t="n">
        <f aca="false">ABS(G156-B156)</f>
        <v>0.00188501707619793</v>
      </c>
    </row>
    <row r="157" customFormat="false" ht="15" hidden="false" customHeight="true" outlineLevel="0" collapsed="false">
      <c r="A157" s="3" t="n">
        <v>24.5</v>
      </c>
      <c r="B157" s="4" t="n">
        <v>40.0042</v>
      </c>
      <c r="C157" s="5" t="n">
        <v>862906</v>
      </c>
      <c r="D157" s="5" t="n">
        <v>921765</v>
      </c>
      <c r="E157" s="6" t="n">
        <v>40.0034597941023</v>
      </c>
      <c r="F157" s="6" t="n">
        <v>40.0041318875861</v>
      </c>
      <c r="G157" s="6" t="n">
        <v>40.0035045114397</v>
      </c>
      <c r="H157" s="6" t="n">
        <f aca="false">ABS(E157-B157)</f>
        <v>0.000740205897699298</v>
      </c>
      <c r="I157" s="6" t="n">
        <f aca="false">ABS(F157-B157)</f>
        <v>6.81124138992573E-005</v>
      </c>
      <c r="J157" s="6" t="n">
        <f aca="false">ABS(G157-B157)</f>
        <v>0.000695488560296553</v>
      </c>
    </row>
    <row r="158" customFormat="false" ht="15" hidden="false" customHeight="true" outlineLevel="0" collapsed="false">
      <c r="A158" s="3" t="n">
        <v>24.5</v>
      </c>
      <c r="B158" s="4" t="n">
        <v>50.0047</v>
      </c>
      <c r="C158" s="5" t="n">
        <v>1038908</v>
      </c>
      <c r="D158" s="5" t="n">
        <v>922054</v>
      </c>
      <c r="E158" s="6" t="n">
        <v>50.005074840362</v>
      </c>
      <c r="F158" s="6" t="n">
        <v>50.0062011581415</v>
      </c>
      <c r="G158" s="6" t="n">
        <v>50.005916516958</v>
      </c>
      <c r="H158" s="6" t="n">
        <f aca="false">ABS(E158-B158)</f>
        <v>0.000374840361999418</v>
      </c>
      <c r="I158" s="6" t="n">
        <f aca="false">ABS(F158-B158)</f>
        <v>0.00150115814150098</v>
      </c>
      <c r="J158" s="6" t="n">
        <f aca="false">ABS(G158-B158)</f>
        <v>0.00121651695800296</v>
      </c>
    </row>
    <row r="159" customFormat="false" ht="15" hidden="false" customHeight="true" outlineLevel="0" collapsed="false">
      <c r="A159" s="3" t="n">
        <v>24.5</v>
      </c>
      <c r="B159" s="4" t="n">
        <v>70.0035</v>
      </c>
      <c r="C159" s="5" t="n">
        <v>1390702</v>
      </c>
      <c r="D159" s="5" t="n">
        <v>922598</v>
      </c>
      <c r="E159" s="6" t="n">
        <v>70.0024928023174</v>
      </c>
      <c r="F159" s="6" t="n">
        <v>70.0016382055238</v>
      </c>
      <c r="G159" s="6" t="n">
        <v>70.0045175416184</v>
      </c>
      <c r="H159" s="6" t="n">
        <f aca="false">ABS(E159-B159)</f>
        <v>0.00100719768259694</v>
      </c>
      <c r="I159" s="6" t="n">
        <f aca="false">ABS(F159-B159)</f>
        <v>0.0018617944761985</v>
      </c>
      <c r="J159" s="6" t="n">
        <f aca="false">ABS(G159-B159)</f>
        <v>0.00101754161839551</v>
      </c>
    </row>
    <row r="160" customFormat="false" ht="15" hidden="false" customHeight="true" outlineLevel="0" collapsed="false">
      <c r="A160" s="3" t="n">
        <v>24.5</v>
      </c>
      <c r="B160" s="4" t="n">
        <v>80.0037</v>
      </c>
      <c r="C160" s="5" t="n">
        <v>1566577</v>
      </c>
      <c r="D160" s="5" t="n">
        <v>922882</v>
      </c>
      <c r="E160" s="6" t="n">
        <v>80.0022266802304</v>
      </c>
      <c r="F160" s="6" t="n">
        <v>79.9995999243967</v>
      </c>
      <c r="G160" s="6" t="n">
        <v>80.0045456075453</v>
      </c>
      <c r="H160" s="6" t="n">
        <f aca="false">ABS(E160-B160)</f>
        <v>0.00147331976960174</v>
      </c>
      <c r="I160" s="6" t="n">
        <f aca="false">ABS(F160-B160)</f>
        <v>0.00410007560329007</v>
      </c>
      <c r="J160" s="6" t="n">
        <f aca="false">ABS(G160-B160)</f>
        <v>0.000845607545301164</v>
      </c>
    </row>
    <row r="161" customFormat="false" ht="15" hidden="false" customHeight="true" outlineLevel="0" collapsed="false">
      <c r="A161" s="3" t="n">
        <v>24.5</v>
      </c>
      <c r="B161" s="4" t="n">
        <v>100.004</v>
      </c>
      <c r="C161" s="5" t="n">
        <v>1918256</v>
      </c>
      <c r="D161" s="5" t="n">
        <v>923448</v>
      </c>
      <c r="E161" s="6" t="n">
        <v>100.003279910132</v>
      </c>
      <c r="F161" s="6" t="n">
        <v>100.000185768448</v>
      </c>
      <c r="G161" s="6" t="n">
        <v>100.005159102032</v>
      </c>
      <c r="H161" s="6" t="n">
        <f aca="false">ABS(E161-B161)</f>
        <v>0.000720089868011087</v>
      </c>
      <c r="I161" s="6" t="n">
        <f aca="false">ABS(F161-B161)</f>
        <v>0.00381423155199911</v>
      </c>
      <c r="J161" s="6" t="n">
        <f aca="false">ABS(G161-B161)</f>
        <v>0.00115910203199121</v>
      </c>
    </row>
    <row r="162" customFormat="false" ht="15" hidden="false" customHeight="true" outlineLevel="0" collapsed="false">
      <c r="A162" s="3" t="n">
        <v>24.5</v>
      </c>
      <c r="B162" s="4" t="n">
        <v>110.0037</v>
      </c>
      <c r="C162" s="5" t="n">
        <v>2094037</v>
      </c>
      <c r="D162" s="5" t="n">
        <v>923727</v>
      </c>
      <c r="E162" s="6" t="n">
        <v>110.003700436798</v>
      </c>
      <c r="F162" s="6" t="n">
        <v>110.001648408921</v>
      </c>
      <c r="G162" s="6" t="n">
        <v>110.004556447266</v>
      </c>
      <c r="H162" s="6" t="n">
        <f aca="false">ABS(E162-B162)</f>
        <v>4.3679800398877E-007</v>
      </c>
      <c r="I162" s="6" t="n">
        <f aca="false">ABS(F162-B162)</f>
        <v>0.00205159107899533</v>
      </c>
      <c r="J162" s="6" t="n">
        <f aca="false">ABS(G162-B162)</f>
        <v>0.000856447266002647</v>
      </c>
    </row>
    <row r="163" customFormat="false" ht="15" hidden="false" customHeight="true" outlineLevel="0" collapsed="false">
      <c r="A163" s="3" t="n">
        <v>24.5</v>
      </c>
      <c r="B163" s="4" t="n">
        <v>130.0045</v>
      </c>
      <c r="C163" s="5" t="n">
        <v>2445448</v>
      </c>
      <c r="D163" s="5" t="n">
        <v>924272</v>
      </c>
      <c r="E163" s="6" t="n">
        <v>130.003583710071</v>
      </c>
      <c r="F163" s="6" t="n">
        <v>130.002995227212</v>
      </c>
      <c r="G163" s="6" t="n">
        <v>129.998331118455</v>
      </c>
      <c r="H163" s="6" t="n">
        <f aca="false">ABS(E163-B163)</f>
        <v>0.000916289928994729</v>
      </c>
      <c r="I163" s="6" t="n">
        <f aca="false">ABS(F163-B163)</f>
        <v>0.00150477278799599</v>
      </c>
      <c r="J163" s="6" t="n">
        <f aca="false">ABS(G163-B163)</f>
        <v>0.00616888154499407</v>
      </c>
    </row>
    <row r="164" customFormat="false" ht="15" hidden="false" customHeight="true" outlineLevel="0" collapsed="false">
      <c r="A164" s="3" t="n">
        <v>24.5</v>
      </c>
      <c r="B164" s="4" t="n">
        <v>140.005</v>
      </c>
      <c r="C164" s="5" t="n">
        <v>2621156</v>
      </c>
      <c r="D164" s="5" t="n">
        <v>924545</v>
      </c>
      <c r="E164" s="6" t="n">
        <v>140.007082467267</v>
      </c>
      <c r="F164" s="6" t="n">
        <v>140.006981794622</v>
      </c>
      <c r="G164" s="6" t="n">
        <v>139.998956142017</v>
      </c>
      <c r="H164" s="6" t="n">
        <f aca="false">ABS(E164-B164)</f>
        <v>0.00208246726700168</v>
      </c>
      <c r="I164" s="6" t="n">
        <f aca="false">ABS(F164-B164)</f>
        <v>0.00198179462199732</v>
      </c>
      <c r="J164" s="6" t="n">
        <f aca="false">ABS(G164-B164)</f>
        <v>0.006043857983002</v>
      </c>
    </row>
    <row r="165" customFormat="false" ht="15" hidden="false" customHeight="true" outlineLevel="0" collapsed="false">
      <c r="A165" s="3" t="n">
        <v>24.5</v>
      </c>
      <c r="B165" s="4" t="n">
        <v>160.0063</v>
      </c>
      <c r="C165" s="5" t="n">
        <v>2972314</v>
      </c>
      <c r="D165" s="5" t="n">
        <v>925069</v>
      </c>
      <c r="E165" s="6" t="n">
        <v>160.009427716009</v>
      </c>
      <c r="F165" s="6" t="n">
        <v>160.010493037799</v>
      </c>
      <c r="G165" s="6" t="n">
        <v>159.999393648348</v>
      </c>
      <c r="H165" s="6" t="n">
        <f aca="false">ABS(E165-B165)</f>
        <v>0.00312771600897577</v>
      </c>
      <c r="I165" s="6" t="n">
        <f aca="false">ABS(F165-B165)</f>
        <v>0.00419303779898428</v>
      </c>
      <c r="J165" s="6" t="n">
        <f aca="false">ABS(G165-B165)</f>
        <v>0.00690635165202025</v>
      </c>
    </row>
    <row r="166" customFormat="false" ht="15" hidden="false" customHeight="true" outlineLevel="0" collapsed="false">
      <c r="A166" s="3" t="n">
        <v>24.5</v>
      </c>
      <c r="B166" s="4" t="n">
        <v>170.0065</v>
      </c>
      <c r="C166" s="5" t="n">
        <v>3147768</v>
      </c>
      <c r="D166" s="5" t="n">
        <v>925327</v>
      </c>
      <c r="E166" s="6" t="n">
        <v>170.008043710459</v>
      </c>
      <c r="F166" s="6" t="n">
        <v>170.0093667288</v>
      </c>
      <c r="G166" s="6" t="n">
        <v>169.998667547339</v>
      </c>
      <c r="H166" s="6" t="n">
        <f aca="false">ABS(E166-B166)</f>
        <v>0.00154371045900348</v>
      </c>
      <c r="I166" s="6" t="n">
        <f aca="false">ABS(F166-B166)</f>
        <v>0.00286672880000083</v>
      </c>
      <c r="J166" s="6" t="n">
        <f aca="false">ABS(G166-B166)</f>
        <v>0.00783245266097765</v>
      </c>
    </row>
    <row r="167" customFormat="false" ht="15" hidden="false" customHeight="true" outlineLevel="0" collapsed="false">
      <c r="A167" s="3" t="n">
        <v>24.5</v>
      </c>
      <c r="B167" s="4" t="n">
        <v>190.0078</v>
      </c>
      <c r="C167" s="5" t="n">
        <v>3498540</v>
      </c>
      <c r="D167" s="5" t="n">
        <v>925836</v>
      </c>
      <c r="E167" s="6" t="n">
        <v>190.007168144953</v>
      </c>
      <c r="F167" s="6" t="n">
        <v>190.007172786899</v>
      </c>
      <c r="G167" s="6" t="n">
        <v>190.001555035503</v>
      </c>
      <c r="H167" s="6" t="n">
        <f aca="false">ABS(E167-B167)</f>
        <v>0.000631855047004137</v>
      </c>
      <c r="I167" s="6" t="n">
        <f aca="false">ABS(F167-B167)</f>
        <v>0.000627213101012103</v>
      </c>
      <c r="J167" s="6" t="n">
        <f aca="false">ABS(G167-B167)</f>
        <v>0.00624496449700018</v>
      </c>
    </row>
    <row r="168" customFormat="false" ht="15" hidden="false" customHeight="true" outlineLevel="0" collapsed="false">
      <c r="A168" s="3" t="n">
        <v>24.5</v>
      </c>
      <c r="B168" s="4" t="n">
        <v>200.0084</v>
      </c>
      <c r="C168" s="5" t="n">
        <v>3673871</v>
      </c>
      <c r="D168" s="5" t="n">
        <v>926080</v>
      </c>
      <c r="E168" s="6" t="n">
        <v>200.009842651097</v>
      </c>
      <c r="F168" s="6" t="n">
        <v>200.009679940266</v>
      </c>
      <c r="G168" s="6" t="n">
        <v>200.007024114877</v>
      </c>
      <c r="H168" s="6" t="n">
        <f aca="false">ABS(E168-B168)</f>
        <v>0.00144265109699404</v>
      </c>
      <c r="I168" s="6" t="n">
        <f aca="false">ABS(F168-B168)</f>
        <v>0.00127994026601641</v>
      </c>
      <c r="J168" s="6" t="n">
        <f aca="false">ABS(G168-B168)</f>
        <v>0.00137588512299658</v>
      </c>
    </row>
    <row r="169" customFormat="false" ht="15" hidden="false" customHeight="true" outlineLevel="0" collapsed="false">
      <c r="A169" s="3" t="n">
        <v>24.5</v>
      </c>
      <c r="B169" s="4" t="n">
        <v>220.0078</v>
      </c>
      <c r="C169" s="5" t="n">
        <v>4024222</v>
      </c>
      <c r="D169" s="5" t="n">
        <v>926566</v>
      </c>
      <c r="E169" s="6" t="n">
        <v>220.007584007037</v>
      </c>
      <c r="F169" s="6" t="n">
        <v>220.008490554847</v>
      </c>
      <c r="G169" s="6" t="n">
        <v>220.011388875207</v>
      </c>
      <c r="H169" s="6" t="n">
        <f aca="false">ABS(E169-B169)</f>
        <v>0.000215992963006784</v>
      </c>
      <c r="I169" s="6" t="n">
        <f aca="false">ABS(F169-B169)</f>
        <v>0.000690554846983105</v>
      </c>
      <c r="J169" s="6" t="n">
        <f aca="false">ABS(G169-B169)</f>
        <v>0.00358887520698659</v>
      </c>
    </row>
    <row r="170" customFormat="false" ht="15" hidden="false" customHeight="true" outlineLevel="0" collapsed="false">
      <c r="A170" s="3" t="n">
        <v>24.5</v>
      </c>
      <c r="B170" s="4" t="n">
        <v>230.0086</v>
      </c>
      <c r="C170" s="5" t="n">
        <v>4199312</v>
      </c>
      <c r="D170" s="5" t="n">
        <v>926804</v>
      </c>
      <c r="E170" s="6" t="n">
        <v>230.007586393402</v>
      </c>
      <c r="F170" s="6" t="n">
        <v>230.008612908593</v>
      </c>
      <c r="G170" s="6" t="n">
        <v>230.014367102785</v>
      </c>
      <c r="H170" s="6" t="n">
        <f aca="false">ABS(E170-B170)</f>
        <v>0.00101360659800775</v>
      </c>
      <c r="I170" s="6" t="n">
        <f aca="false">ABS(F170-B170)</f>
        <v>1.29085929927442E-005</v>
      </c>
      <c r="J170" s="6" t="n">
        <f aca="false">ABS(G170-B170)</f>
        <v>0.00576710278500059</v>
      </c>
    </row>
    <row r="171" customFormat="false" ht="15" hidden="false" customHeight="true" outlineLevel="0" collapsed="false">
      <c r="A171" s="3" t="n">
        <v>24.5</v>
      </c>
      <c r="B171" s="4" t="n">
        <v>250.009</v>
      </c>
      <c r="C171" s="5" t="n">
        <v>4549270</v>
      </c>
      <c r="D171" s="5" t="n">
        <v>927271</v>
      </c>
      <c r="E171" s="6" t="n">
        <v>250.007428568818</v>
      </c>
      <c r="F171" s="6" t="n">
        <v>250.007477511707</v>
      </c>
      <c r="G171" s="6" t="n">
        <v>250.018152276604</v>
      </c>
      <c r="H171" s="6" t="n">
        <f aca="false">ABS(E171-B171)</f>
        <v>0.00157143118198633</v>
      </c>
      <c r="I171" s="6" t="n">
        <f aca="false">ABS(F171-B171)</f>
        <v>0.00152248829297719</v>
      </c>
      <c r="J171" s="6" t="n">
        <f aca="false">ABS(G171-B171)</f>
        <v>0.00915227660402707</v>
      </c>
    </row>
    <row r="172" customFormat="false" ht="15" hidden="false" customHeight="true" outlineLevel="0" collapsed="false">
      <c r="A172" s="3" t="n">
        <v>24.5</v>
      </c>
      <c r="B172" s="4" t="n">
        <v>260.0086</v>
      </c>
      <c r="C172" s="5" t="n">
        <v>4724120</v>
      </c>
      <c r="D172" s="5" t="n">
        <v>927499</v>
      </c>
      <c r="E172" s="6" t="n">
        <v>260.006721926842</v>
      </c>
      <c r="F172" s="6" t="n">
        <v>260.006925250695</v>
      </c>
      <c r="G172" s="6" t="n">
        <v>260.018095023709</v>
      </c>
      <c r="H172" s="6" t="n">
        <f aca="false">ABS(E172-B172)</f>
        <v>0.00187807315802502</v>
      </c>
      <c r="I172" s="6" t="n">
        <f aca="false">ABS(F172-B172)</f>
        <v>0.00167474930498202</v>
      </c>
      <c r="J172" s="6" t="n">
        <f aca="false">ABS(G172-B172)</f>
        <v>0.00949502370900746</v>
      </c>
    </row>
    <row r="173" customFormat="false" ht="15" hidden="false" customHeight="true" outlineLevel="0" collapsed="false">
      <c r="A173" s="3" t="n">
        <v>24.5</v>
      </c>
      <c r="B173" s="4" t="n">
        <v>280.0124</v>
      </c>
      <c r="C173" s="5" t="n">
        <v>5073685</v>
      </c>
      <c r="D173" s="5" t="n">
        <v>927941</v>
      </c>
      <c r="E173" s="6" t="n">
        <v>280.012603529706</v>
      </c>
      <c r="F173" s="6" t="n">
        <v>280.014138770579</v>
      </c>
      <c r="G173" s="6" t="n">
        <v>280.021835960994</v>
      </c>
      <c r="H173" s="6" t="n">
        <f aca="false">ABS(E173-B173)</f>
        <v>0.000203529705970595</v>
      </c>
      <c r="I173" s="6" t="n">
        <f aca="false">ABS(F173-B173)</f>
        <v>0.00173877057898153</v>
      </c>
      <c r="J173" s="6" t="n">
        <f aca="false">ABS(G173-B173)</f>
        <v>0.00943596099398292</v>
      </c>
    </row>
    <row r="174" customFormat="false" ht="15" hidden="false" customHeight="true" outlineLevel="0" collapsed="false">
      <c r="A174" s="3" t="n">
        <v>24.5</v>
      </c>
      <c r="B174" s="4" t="n">
        <v>290.0116</v>
      </c>
      <c r="C174" s="5" t="n">
        <v>5248259</v>
      </c>
      <c r="D174" s="5" t="n">
        <v>928156</v>
      </c>
      <c r="E174" s="6" t="n">
        <v>290.011175854783</v>
      </c>
      <c r="F174" s="6" t="n">
        <v>290.012955612675</v>
      </c>
      <c r="G174" s="6" t="n">
        <v>290.017303180119</v>
      </c>
      <c r="H174" s="6" t="n">
        <f aca="false">ABS(E174-B174)</f>
        <v>0.000424145216982197</v>
      </c>
      <c r="I174" s="6" t="n">
        <f aca="false">ABS(F174-B174)</f>
        <v>0.00135561267501316</v>
      </c>
      <c r="J174" s="6" t="n">
        <f aca="false">ABS(G174-B174)</f>
        <v>0.00570318011898507</v>
      </c>
    </row>
    <row r="175" customFormat="false" ht="15" hidden="false" customHeight="true" outlineLevel="0" collapsed="false">
      <c r="A175" s="3" t="n">
        <v>26.25</v>
      </c>
      <c r="B175" s="4" t="n">
        <v>1.0026</v>
      </c>
      <c r="C175" s="5" t="n">
        <v>177859</v>
      </c>
      <c r="D175" s="5" t="n">
        <v>916811</v>
      </c>
      <c r="E175" s="6" t="n">
        <v>1.00135511266153</v>
      </c>
      <c r="F175" s="6" t="n">
        <v>1.00244381212749</v>
      </c>
      <c r="G175" s="6" t="n">
        <v>1.00379175389927</v>
      </c>
      <c r="H175" s="6" t="n">
        <f aca="false">ABS(E175-B175)</f>
        <v>0.00124488733846984</v>
      </c>
      <c r="I175" s="6" t="n">
        <f aca="false">ABS(F175-B175)</f>
        <v>0.000156187872510039</v>
      </c>
      <c r="J175" s="6" t="n">
        <f aca="false">ABS(G175-B175)</f>
        <v>0.00119175389927007</v>
      </c>
    </row>
    <row r="176" customFormat="false" ht="15" hidden="false" customHeight="true" outlineLevel="0" collapsed="false">
      <c r="A176" s="3" t="n">
        <v>26.25</v>
      </c>
      <c r="B176" s="4" t="n">
        <v>10.0027</v>
      </c>
      <c r="C176" s="5" t="n">
        <v>335731</v>
      </c>
      <c r="D176" s="5" t="n">
        <v>917135</v>
      </c>
      <c r="E176" s="6" t="n">
        <v>10.0026110349994</v>
      </c>
      <c r="F176" s="6" t="n">
        <v>10.0022659988423</v>
      </c>
      <c r="G176" s="6" t="n">
        <v>10.0017688492189</v>
      </c>
      <c r="H176" s="6" t="n">
        <f aca="false">ABS(E176-B176)</f>
        <v>8.8965000600183E-005</v>
      </c>
      <c r="I176" s="6" t="n">
        <f aca="false">ABS(F176-B176)</f>
        <v>0.000434001157699981</v>
      </c>
      <c r="J176" s="6" t="n">
        <f aca="false">ABS(G176-B176)</f>
        <v>0.000931150781100953</v>
      </c>
    </row>
    <row r="177" customFormat="false" ht="15" hidden="false" customHeight="true" outlineLevel="0" collapsed="false">
      <c r="A177" s="3" t="n">
        <v>26.25</v>
      </c>
      <c r="B177" s="4" t="n">
        <v>20.0033</v>
      </c>
      <c r="C177" s="5" t="n">
        <v>511121</v>
      </c>
      <c r="D177" s="5" t="n">
        <v>917419</v>
      </c>
      <c r="E177" s="6" t="n">
        <v>20.002109276404</v>
      </c>
      <c r="F177" s="6" t="n">
        <v>20.0022647543601</v>
      </c>
      <c r="G177" s="6" t="n">
        <v>20.001806647443</v>
      </c>
      <c r="H177" s="6" t="n">
        <f aca="false">ABS(E177-B177)</f>
        <v>0.00119072359600025</v>
      </c>
      <c r="I177" s="6" t="n">
        <f aca="false">ABS(F177-B177)</f>
        <v>0.00103524563989765</v>
      </c>
      <c r="J177" s="6" t="n">
        <f aca="false">ABS(G177-B177)</f>
        <v>0.00149335255699867</v>
      </c>
    </row>
    <row r="178" customFormat="false" ht="15" hidden="false" customHeight="true" outlineLevel="0" collapsed="false">
      <c r="A178" s="3" t="n">
        <v>26.25</v>
      </c>
      <c r="B178" s="4" t="n">
        <v>30.004</v>
      </c>
      <c r="C178" s="5" t="n">
        <v>686520</v>
      </c>
      <c r="D178" s="5" t="n">
        <v>917700</v>
      </c>
      <c r="E178" s="6" t="n">
        <v>30.0034138637435</v>
      </c>
      <c r="F178" s="6" t="n">
        <v>30.0036041006801</v>
      </c>
      <c r="G178" s="6" t="n">
        <v>30.0039162552021</v>
      </c>
      <c r="H178" s="6" t="n">
        <f aca="false">ABS(E178-B178)</f>
        <v>0.000586136256501391</v>
      </c>
      <c r="I178" s="6" t="n">
        <f aca="false">ABS(F178-B178)</f>
        <v>0.000395899319901361</v>
      </c>
      <c r="J178" s="6" t="n">
        <f aca="false">ABS(G178-B178)</f>
        <v>8.37447979016304E-005</v>
      </c>
    </row>
    <row r="179" customFormat="false" ht="15" hidden="false" customHeight="true" outlineLevel="0" collapsed="false">
      <c r="A179" s="3" t="n">
        <v>26.25</v>
      </c>
      <c r="B179" s="4" t="n">
        <v>40.0042</v>
      </c>
      <c r="C179" s="5" t="n">
        <v>861864</v>
      </c>
      <c r="D179" s="5" t="n">
        <v>917982</v>
      </c>
      <c r="E179" s="6" t="n">
        <v>40.0029730673273</v>
      </c>
      <c r="F179" s="6" t="n">
        <v>40.0034200616757</v>
      </c>
      <c r="G179" s="6" t="n">
        <v>40.0037639978097</v>
      </c>
      <c r="H179" s="6" t="n">
        <f aca="false">ABS(E179-B179)</f>
        <v>0.0012269326727008</v>
      </c>
      <c r="I179" s="6" t="n">
        <f aca="false">ABS(F179-B179)</f>
        <v>0.000779938324299678</v>
      </c>
      <c r="J179" s="6" t="n">
        <f aca="false">ABS(G179-B179)</f>
        <v>0.000436002190298268</v>
      </c>
    </row>
    <row r="180" customFormat="false" ht="15" hidden="false" customHeight="true" outlineLevel="0" collapsed="false">
      <c r="A180" s="3" t="n">
        <v>26.25</v>
      </c>
      <c r="B180" s="4" t="n">
        <v>50.0047</v>
      </c>
      <c r="C180" s="5" t="n">
        <v>1037219</v>
      </c>
      <c r="D180" s="5" t="n">
        <v>918264</v>
      </c>
      <c r="E180" s="6" t="n">
        <v>50.0046190535761</v>
      </c>
      <c r="F180" s="6" t="n">
        <v>50.005428946346</v>
      </c>
      <c r="G180" s="6" t="n">
        <v>50.005801528409</v>
      </c>
      <c r="H180" s="6" t="n">
        <f aca="false">ABS(E180-B180)</f>
        <v>8.09464238997748E-005</v>
      </c>
      <c r="I180" s="6" t="n">
        <f aca="false">ABS(F180-B180)</f>
        <v>0.00072894634600118</v>
      </c>
      <c r="J180" s="6" t="n">
        <f aca="false">ABS(G180-B180)</f>
        <v>0.00110152840900213</v>
      </c>
    </row>
    <row r="181" customFormat="false" ht="15" hidden="false" customHeight="true" outlineLevel="0" collapsed="false">
      <c r="A181" s="3" t="n">
        <v>26.25</v>
      </c>
      <c r="B181" s="4" t="n">
        <v>60.0036</v>
      </c>
      <c r="C181" s="5" t="n">
        <v>1212438</v>
      </c>
      <c r="D181" s="5" t="n">
        <v>918501</v>
      </c>
      <c r="E181" s="6" t="n">
        <v>60.0016010295928</v>
      </c>
      <c r="F181" s="6" t="n">
        <v>60.0027583188654</v>
      </c>
      <c r="G181" s="6" t="n">
        <v>60.0032778978143</v>
      </c>
      <c r="H181" s="6" t="n">
        <f aca="false">ABS(E181-B181)</f>
        <v>0.00199897040720032</v>
      </c>
      <c r="I181" s="6" t="n">
        <f aca="false">ABS(F181-B181)</f>
        <v>0.000841681134595262</v>
      </c>
      <c r="J181" s="6" t="n">
        <f aca="false">ABS(G181-B181)</f>
        <v>0.000322102185698725</v>
      </c>
    </row>
    <row r="182" customFormat="false" ht="15" hidden="false" customHeight="true" outlineLevel="0" collapsed="false">
      <c r="A182" s="3" t="n">
        <v>26.25</v>
      </c>
      <c r="B182" s="4" t="n">
        <v>70.0035</v>
      </c>
      <c r="C182" s="5" t="n">
        <v>1387725</v>
      </c>
      <c r="D182" s="5" t="n">
        <v>918789</v>
      </c>
      <c r="E182" s="6" t="n">
        <v>70.0026569952741</v>
      </c>
      <c r="F182" s="6" t="n">
        <v>70.0013236185847</v>
      </c>
      <c r="G182" s="6" t="n">
        <v>70.0048144008019</v>
      </c>
      <c r="H182" s="6" t="n">
        <f aca="false">ABS(E182-B182)</f>
        <v>0.000843004725908259</v>
      </c>
      <c r="I182" s="6" t="n">
        <f aca="false">ABS(F182-B182)</f>
        <v>0.00217638141529619</v>
      </c>
      <c r="J182" s="6" t="n">
        <f aca="false">ABS(G182-B182)</f>
        <v>0.00131440080190259</v>
      </c>
    </row>
    <row r="183" customFormat="false" ht="15" hidden="false" customHeight="true" outlineLevel="0" collapsed="false">
      <c r="A183" s="3" t="n">
        <v>26.25</v>
      </c>
      <c r="B183" s="4" t="n">
        <v>80.0037</v>
      </c>
      <c r="C183" s="5" t="n">
        <v>1562940</v>
      </c>
      <c r="D183" s="5" t="n">
        <v>919069</v>
      </c>
      <c r="E183" s="6" t="n">
        <v>80.0015813796152</v>
      </c>
      <c r="F183" s="6" t="n">
        <v>79.9990610707724</v>
      </c>
      <c r="G183" s="6" t="n">
        <v>80.0040758268884</v>
      </c>
      <c r="H183" s="6" t="n">
        <f aca="false">ABS(E183-B183)</f>
        <v>0.00211862038479183</v>
      </c>
      <c r="I183" s="6" t="n">
        <f aca="false">ABS(F183-B183)</f>
        <v>0.00463892922759612</v>
      </c>
      <c r="J183" s="6" t="n">
        <f aca="false">ABS(G183-B183)</f>
        <v>0.000375826888401321</v>
      </c>
    </row>
    <row r="184" customFormat="false" ht="15" hidden="false" customHeight="true" outlineLevel="0" collapsed="false">
      <c r="A184" s="3" t="n">
        <v>26.25</v>
      </c>
      <c r="B184" s="4" t="n">
        <v>90.0034</v>
      </c>
      <c r="C184" s="5" t="n">
        <v>1738232</v>
      </c>
      <c r="D184" s="5" t="n">
        <v>919353</v>
      </c>
      <c r="E184" s="6" t="n">
        <v>90.0064225917756</v>
      </c>
      <c r="F184" s="6" t="n">
        <v>90.003952014297</v>
      </c>
      <c r="G184" s="6" t="n">
        <v>90.0089820953927</v>
      </c>
      <c r="H184" s="6" t="n">
        <f aca="false">ABS(E184-B184)</f>
        <v>0.00302259177560416</v>
      </c>
      <c r="I184" s="6" t="n">
        <f aca="false">ABS(F184-B184)</f>
        <v>0.000552014296999914</v>
      </c>
      <c r="J184" s="6" t="n">
        <f aca="false">ABS(G184-B184)</f>
        <v>0.00558209539269683</v>
      </c>
    </row>
    <row r="185" customFormat="false" ht="15" hidden="false" customHeight="true" outlineLevel="0" collapsed="false">
      <c r="A185" s="3" t="n">
        <v>26.25</v>
      </c>
      <c r="B185" s="4" t="n">
        <v>100.004</v>
      </c>
      <c r="C185" s="5" t="n">
        <v>1913341</v>
      </c>
      <c r="D185" s="5" t="n">
        <v>919629</v>
      </c>
      <c r="E185" s="6" t="n">
        <v>100.003144324983</v>
      </c>
      <c r="F185" s="6" t="n">
        <v>100.001167045177</v>
      </c>
      <c r="G185" s="6" t="n">
        <v>100.005365794006</v>
      </c>
      <c r="H185" s="6" t="n">
        <f aca="false">ABS(E185-B185)</f>
        <v>0.000855675017007229</v>
      </c>
      <c r="I185" s="6" t="n">
        <f aca="false">ABS(F185-B185)</f>
        <v>0.00283295482300616</v>
      </c>
      <c r="J185" s="6" t="n">
        <f aca="false">ABS(G185-B185)</f>
        <v>0.00136579400599146</v>
      </c>
    </row>
    <row r="186" customFormat="false" ht="15" hidden="false" customHeight="true" outlineLevel="0" collapsed="false">
      <c r="A186" s="3" t="n">
        <v>26.25</v>
      </c>
      <c r="B186" s="4" t="n">
        <v>110.0037</v>
      </c>
      <c r="C186" s="5" t="n">
        <v>2088508</v>
      </c>
      <c r="D186" s="5" t="n">
        <v>919908</v>
      </c>
      <c r="E186" s="6" t="n">
        <v>110.004909901874</v>
      </c>
      <c r="F186" s="6" t="n">
        <v>110.003732412384</v>
      </c>
      <c r="G186" s="6" t="n">
        <v>110.006254795924</v>
      </c>
      <c r="H186" s="6" t="n">
        <f aca="false">ABS(E186-B186)</f>
        <v>0.00120990187400594</v>
      </c>
      <c r="I186" s="6" t="n">
        <f aca="false">ABS(F186-B186)</f>
        <v>3.24123840016455E-005</v>
      </c>
      <c r="J186" s="6" t="n">
        <f aca="false">ABS(G186-B186)</f>
        <v>0.00255479592399865</v>
      </c>
    </row>
    <row r="187" customFormat="false" ht="15" hidden="false" customHeight="true" outlineLevel="0" collapsed="false">
      <c r="A187" s="3" t="n">
        <v>26.25</v>
      </c>
      <c r="B187" s="4" t="n">
        <v>120.0037</v>
      </c>
      <c r="C187" s="5" t="n">
        <v>2263571</v>
      </c>
      <c r="D187" s="5" t="n">
        <v>920174</v>
      </c>
      <c r="E187" s="6" t="n">
        <v>120.003905029476</v>
      </c>
      <c r="F187" s="6" t="n">
        <v>120.003700815467</v>
      </c>
      <c r="G187" s="6" t="n">
        <v>120.003700815023</v>
      </c>
      <c r="H187" s="6" t="n">
        <f aca="false">ABS(E187-B187)</f>
        <v>0.000205029476006757</v>
      </c>
      <c r="I187" s="6" t="n">
        <f aca="false">ABS(F187-B187)</f>
        <v>8.15467004144921E-007</v>
      </c>
      <c r="J187" s="6" t="n">
        <f aca="false">ABS(G187-B187)</f>
        <v>8.15023000200199E-007</v>
      </c>
    </row>
    <row r="188" customFormat="false" ht="15" hidden="false" customHeight="true" outlineLevel="0" collapsed="false">
      <c r="A188" s="3" t="n">
        <v>26.25</v>
      </c>
      <c r="B188" s="4" t="n">
        <v>130.0045</v>
      </c>
      <c r="C188" s="5" t="n">
        <v>2438619</v>
      </c>
      <c r="D188" s="5" t="n">
        <v>920444</v>
      </c>
      <c r="E188" s="6" t="n">
        <v>130.003922787803</v>
      </c>
      <c r="F188" s="6" t="n">
        <v>130.003937132513</v>
      </c>
      <c r="G188" s="6" t="n">
        <v>129.999136569014</v>
      </c>
      <c r="H188" s="6" t="n">
        <f aca="false">ABS(E188-B188)</f>
        <v>0.000577212197015342</v>
      </c>
      <c r="I188" s="6" t="n">
        <f aca="false">ABS(F188-B188)</f>
        <v>0.000562867487019503</v>
      </c>
      <c r="J188" s="6" t="n">
        <f aca="false">ABS(G188-B188)</f>
        <v>0.00536343098599446</v>
      </c>
    </row>
    <row r="189" customFormat="false" ht="15" hidden="false" customHeight="true" outlineLevel="0" collapsed="false">
      <c r="A189" s="3" t="n">
        <v>26.25</v>
      </c>
      <c r="B189" s="4" t="n">
        <v>140.005</v>
      </c>
      <c r="C189" s="5" t="n">
        <v>2613670</v>
      </c>
      <c r="D189" s="5" t="n">
        <v>920714</v>
      </c>
      <c r="E189" s="6" t="n">
        <v>140.006388316981</v>
      </c>
      <c r="F189" s="6" t="n">
        <v>140.006798232224</v>
      </c>
      <c r="G189" s="6" t="n">
        <v>139.998588104059</v>
      </c>
      <c r="H189" s="6" t="n">
        <f aca="false">ABS(E189-B189)</f>
        <v>0.00138831698100717</v>
      </c>
      <c r="I189" s="6" t="n">
        <f aca="false">ABS(F189-B189)</f>
        <v>0.00179823222401865</v>
      </c>
      <c r="J189" s="6" t="n">
        <f aca="false">ABS(G189-B189)</f>
        <v>0.00641189594099956</v>
      </c>
    </row>
    <row r="190" customFormat="false" ht="15" hidden="false" customHeight="true" outlineLevel="0" collapsed="false">
      <c r="A190" s="3" t="n">
        <v>26.25</v>
      </c>
      <c r="B190" s="4" t="n">
        <v>150.0051</v>
      </c>
      <c r="C190" s="5" t="n">
        <v>2788604</v>
      </c>
      <c r="D190" s="5" t="n">
        <v>920976</v>
      </c>
      <c r="E190" s="6" t="n">
        <v>150.005449509895</v>
      </c>
      <c r="F190" s="6" t="n">
        <v>150.006199212778</v>
      </c>
      <c r="G190" s="6" t="n">
        <v>149.996064531291</v>
      </c>
      <c r="H190" s="6" t="n">
        <f aca="false">ABS(E190-B190)</f>
        <v>0.000349509894988387</v>
      </c>
      <c r="I190" s="6" t="n">
        <f aca="false">ABS(F190-B190)</f>
        <v>0.0010992127780014</v>
      </c>
      <c r="J190" s="6" t="n">
        <f aca="false">ABS(G190-B190)</f>
        <v>0.00903546870898708</v>
      </c>
    </row>
    <row r="191" customFormat="false" ht="15" hidden="false" customHeight="true" outlineLevel="0" collapsed="false">
      <c r="A191" s="3" t="n">
        <v>26.25</v>
      </c>
      <c r="B191" s="4" t="n">
        <v>160.0063</v>
      </c>
      <c r="C191" s="5" t="n">
        <v>2963544</v>
      </c>
      <c r="D191" s="5" t="n">
        <v>921233</v>
      </c>
      <c r="E191" s="6" t="n">
        <v>160.008051235159</v>
      </c>
      <c r="F191" s="6" t="n">
        <v>160.009002540278</v>
      </c>
      <c r="G191" s="6" t="n">
        <v>159.998365700534</v>
      </c>
      <c r="H191" s="6" t="n">
        <f aca="false">ABS(E191-B191)</f>
        <v>0.00175123515899145</v>
      </c>
      <c r="I191" s="6" t="n">
        <f aca="false">ABS(F191-B191)</f>
        <v>0.0027025402779941</v>
      </c>
      <c r="J191" s="6" t="n">
        <f aca="false">ABS(G191-B191)</f>
        <v>0.00793429946600099</v>
      </c>
    </row>
    <row r="192" customFormat="false" ht="15" hidden="false" customHeight="true" outlineLevel="0" collapsed="false">
      <c r="A192" s="3" t="n">
        <v>26.25</v>
      </c>
      <c r="B192" s="4" t="n">
        <v>170.0065</v>
      </c>
      <c r="C192" s="5" t="n">
        <v>3138413</v>
      </c>
      <c r="D192" s="5" t="n">
        <v>921491</v>
      </c>
      <c r="E192" s="6" t="n">
        <v>170.009137710475</v>
      </c>
      <c r="F192" s="6" t="n">
        <v>170.010006119763</v>
      </c>
      <c r="G192" s="6" t="n">
        <v>170.000648529173</v>
      </c>
      <c r="H192" s="6" t="n">
        <f aca="false">ABS(E192-B192)</f>
        <v>0.00263771047499972</v>
      </c>
      <c r="I192" s="6" t="n">
        <f aca="false">ABS(F192-B192)</f>
        <v>0.00350611976301707</v>
      </c>
      <c r="J192" s="6" t="n">
        <f aca="false">ABS(G192-B192)</f>
        <v>0.00585147082699677</v>
      </c>
    </row>
    <row r="193" customFormat="false" ht="15" hidden="false" customHeight="true" outlineLevel="0" collapsed="false">
      <c r="A193" s="3" t="n">
        <v>26.25</v>
      </c>
      <c r="B193" s="4" t="n">
        <v>180.0082</v>
      </c>
      <c r="C193" s="5" t="n">
        <v>3313187</v>
      </c>
      <c r="D193" s="5" t="n">
        <v>921747</v>
      </c>
      <c r="E193" s="6" t="n">
        <v>180.007803376462</v>
      </c>
      <c r="F193" s="6" t="n">
        <v>180.008155915295</v>
      </c>
      <c r="G193" s="6" t="n">
        <v>180.001580706721</v>
      </c>
      <c r="H193" s="6" t="n">
        <f aca="false">ABS(E193-B193)</f>
        <v>0.000396623537994856</v>
      </c>
      <c r="I193" s="6" t="n">
        <f aca="false">ABS(F193-B193)</f>
        <v>4.40847049958393E-005</v>
      </c>
      <c r="J193" s="6" t="n">
        <f aca="false">ABS(G193-B193)</f>
        <v>0.00661929327898747</v>
      </c>
    </row>
    <row r="194" customFormat="false" ht="15" hidden="false" customHeight="true" outlineLevel="0" collapsed="false">
      <c r="A194" s="3" t="n">
        <v>26.25</v>
      </c>
      <c r="B194" s="4" t="n">
        <v>190.0078</v>
      </c>
      <c r="C194" s="5" t="n">
        <v>3487919</v>
      </c>
      <c r="D194" s="5" t="n">
        <v>921994</v>
      </c>
      <c r="E194" s="6" t="n">
        <v>190.008310818986</v>
      </c>
      <c r="F194" s="6" t="n">
        <v>190.007742354041</v>
      </c>
      <c r="G194" s="6" t="n">
        <v>190.004664201092</v>
      </c>
      <c r="H194" s="6" t="n">
        <f aca="false">ABS(E194-B194)</f>
        <v>0.000510818985986816</v>
      </c>
      <c r="I194" s="6" t="n">
        <f aca="false">ABS(F194-B194)</f>
        <v>5.76459590035938E-005</v>
      </c>
      <c r="J194" s="6" t="n">
        <f aca="false">ABS(G194-B194)</f>
        <v>0.00313579890800497</v>
      </c>
    </row>
    <row r="195" customFormat="false" ht="15" hidden="false" customHeight="true" outlineLevel="0" collapsed="false">
      <c r="A195" s="3" t="n">
        <v>26.25</v>
      </c>
      <c r="B195" s="4" t="n">
        <v>200.0084</v>
      </c>
      <c r="C195" s="5" t="n">
        <v>3662609</v>
      </c>
      <c r="D195" s="5" t="n">
        <v>922241</v>
      </c>
      <c r="E195" s="6" t="n">
        <v>200.009457253978</v>
      </c>
      <c r="F195" s="6" t="n">
        <v>200.00909956969</v>
      </c>
      <c r="G195" s="6" t="n">
        <v>200.008538312452</v>
      </c>
      <c r="H195" s="6" t="n">
        <f aca="false">ABS(E195-B195)</f>
        <v>0.00105725397801848</v>
      </c>
      <c r="I195" s="6" t="n">
        <f aca="false">ABS(F195-B195)</f>
        <v>0.00069956968999918</v>
      </c>
      <c r="J195" s="6" t="n">
        <f aca="false">ABS(G195-B195)</f>
        <v>0.000138312452008904</v>
      </c>
    </row>
    <row r="196" customFormat="false" ht="15" hidden="false" customHeight="true" outlineLevel="0" collapsed="false">
      <c r="A196" s="3" t="n">
        <v>26.25</v>
      </c>
      <c r="B196" s="4" t="n">
        <v>210.0076</v>
      </c>
      <c r="C196" s="5" t="n">
        <v>3837179</v>
      </c>
      <c r="D196" s="5" t="n">
        <v>922485</v>
      </c>
      <c r="E196" s="6" t="n">
        <v>210.007341348011</v>
      </c>
      <c r="F196" s="6" t="n">
        <v>210.007586791488</v>
      </c>
      <c r="G196" s="6" t="n">
        <v>210.009151327364</v>
      </c>
      <c r="H196" s="6" t="n">
        <f aca="false">ABS(E196-B196)</f>
        <v>0.000258651988986003</v>
      </c>
      <c r="I196" s="6" t="n">
        <f aca="false">ABS(F196-B196)</f>
        <v>1.32085120014835E-005</v>
      </c>
      <c r="J196" s="6" t="n">
        <f aca="false">ABS(G196-B196)</f>
        <v>0.00155132736401242</v>
      </c>
    </row>
    <row r="197" customFormat="false" ht="15" hidden="false" customHeight="true" outlineLevel="0" collapsed="false">
      <c r="A197" s="3" t="n">
        <v>26.25</v>
      </c>
      <c r="B197" s="4" t="n">
        <v>220.0078</v>
      </c>
      <c r="C197" s="5" t="n">
        <v>4011719</v>
      </c>
      <c r="D197" s="5" t="n">
        <v>922722</v>
      </c>
      <c r="E197" s="6" t="n">
        <v>220.008020068863</v>
      </c>
      <c r="F197" s="6" t="n">
        <v>220.008759622071</v>
      </c>
      <c r="G197" s="6" t="n">
        <v>220.012408201995</v>
      </c>
      <c r="H197" s="6" t="n">
        <f aca="false">ABS(E197-B197)</f>
        <v>0.000220068863001188</v>
      </c>
      <c r="I197" s="6" t="n">
        <f aca="false">ABS(F197-B197)</f>
        <v>0.000959622071007971</v>
      </c>
      <c r="J197" s="6" t="n">
        <f aca="false">ABS(G197-B197)</f>
        <v>0.00460820199498357</v>
      </c>
    </row>
    <row r="198" customFormat="false" ht="15" hidden="false" customHeight="true" outlineLevel="0" collapsed="false">
      <c r="A198" s="3" t="n">
        <v>26.25</v>
      </c>
      <c r="B198" s="4" t="n">
        <v>230.0086</v>
      </c>
      <c r="C198" s="5" t="n">
        <v>4186215</v>
      </c>
      <c r="D198" s="5" t="n">
        <v>922958</v>
      </c>
      <c r="E198" s="6" t="n">
        <v>230.009761751548</v>
      </c>
      <c r="F198" s="6" t="n">
        <v>230.01073333749</v>
      </c>
      <c r="G198" s="6" t="n">
        <v>230.016423849901</v>
      </c>
      <c r="H198" s="6" t="n">
        <f aca="false">ABS(E198-B198)</f>
        <v>0.00116175154801113</v>
      </c>
      <c r="I198" s="6" t="n">
        <f aca="false">ABS(F198-B198)</f>
        <v>0.00213333748999389</v>
      </c>
      <c r="J198" s="6" t="n">
        <f aca="false">ABS(G198-B198)</f>
        <v>0.00782384990100127</v>
      </c>
    </row>
    <row r="199" customFormat="false" ht="15" hidden="false" customHeight="true" outlineLevel="0" collapsed="false">
      <c r="A199" s="3" t="n">
        <v>26.25</v>
      </c>
      <c r="B199" s="4" t="n">
        <v>240.0082</v>
      </c>
      <c r="C199" s="5" t="n">
        <v>4360595</v>
      </c>
      <c r="D199" s="5" t="n">
        <v>923193</v>
      </c>
      <c r="E199" s="6" t="n">
        <v>240.008497417876</v>
      </c>
      <c r="F199" s="6" t="n">
        <v>240.009284609995</v>
      </c>
      <c r="G199" s="6" t="n">
        <v>240.016975613938</v>
      </c>
      <c r="H199" s="6" t="n">
        <f aca="false">ABS(E199-B199)</f>
        <v>0.000297417875998463</v>
      </c>
      <c r="I199" s="6" t="n">
        <f aca="false">ABS(F199-B199)</f>
        <v>0.00108460999501858</v>
      </c>
      <c r="J199" s="6" t="n">
        <f aca="false">ABS(G199-B199)</f>
        <v>0.00877561393801329</v>
      </c>
    </row>
    <row r="200" customFormat="false" ht="15" hidden="false" customHeight="true" outlineLevel="0" collapsed="false">
      <c r="A200" s="3" t="n">
        <v>26.25</v>
      </c>
      <c r="B200" s="4" t="n">
        <v>250.009</v>
      </c>
      <c r="C200" s="5" t="n">
        <v>4534922</v>
      </c>
      <c r="D200" s="5" t="n">
        <v>923422</v>
      </c>
      <c r="E200" s="6" t="n">
        <v>250.009004228831</v>
      </c>
      <c r="F200" s="6" t="n">
        <v>250.009752471564</v>
      </c>
      <c r="G200" s="6" t="n">
        <v>250.018684434286</v>
      </c>
      <c r="H200" s="6" t="n">
        <f aca="false">ABS(E200-B200)</f>
        <v>4.22883101691696E-006</v>
      </c>
      <c r="I200" s="6" t="n">
        <f aca="false">ABS(F200-B200)</f>
        <v>0.000752471564027246</v>
      </c>
      <c r="J200" s="6" t="n">
        <f aca="false">ABS(G200-B200)</f>
        <v>0.00968443428601518</v>
      </c>
    </row>
    <row r="201" customFormat="false" ht="15" hidden="false" customHeight="true" outlineLevel="0" collapsed="false">
      <c r="A201" s="3" t="n">
        <v>26.25</v>
      </c>
      <c r="B201" s="4" t="n">
        <v>260.0086</v>
      </c>
      <c r="C201" s="5" t="n">
        <v>4709158</v>
      </c>
      <c r="D201" s="5" t="n">
        <v>923649</v>
      </c>
      <c r="E201" s="6" t="n">
        <v>260.008412090321</v>
      </c>
      <c r="F201" s="6" t="n">
        <v>260.009583415895</v>
      </c>
      <c r="G201" s="6" t="n">
        <v>260.018527063675</v>
      </c>
      <c r="H201" s="6" t="n">
        <f aca="false">ABS(E201-B201)</f>
        <v>0.000187909679027598</v>
      </c>
      <c r="I201" s="6" t="n">
        <f aca="false">ABS(F201-B201)</f>
        <v>0.000983415895007056</v>
      </c>
      <c r="J201" s="6" t="n">
        <f aca="false">ABS(G201-B201)</f>
        <v>0.00992706367497931</v>
      </c>
    </row>
    <row r="202" customFormat="false" ht="15" hidden="false" customHeight="true" outlineLevel="0" collapsed="false">
      <c r="A202" s="3" t="n">
        <v>26.25</v>
      </c>
      <c r="B202" s="4" t="n">
        <v>270.0086</v>
      </c>
      <c r="C202" s="5" t="n">
        <v>4883332</v>
      </c>
      <c r="D202" s="5" t="n">
        <v>923870</v>
      </c>
      <c r="E202" s="6" t="n">
        <v>270.009428159156</v>
      </c>
      <c r="F202" s="6" t="n">
        <v>270.010846159356</v>
      </c>
      <c r="G202" s="6" t="n">
        <v>270.019052982461</v>
      </c>
      <c r="H202" s="6" t="n">
        <f aca="false">ABS(E202-B202)</f>
        <v>0.000828159156014863</v>
      </c>
      <c r="I202" s="6" t="n">
        <f aca="false">ABS(F202-B202)</f>
        <v>0.00224615935599104</v>
      </c>
      <c r="J202" s="6" t="n">
        <f aca="false">ABS(G202-B202)</f>
        <v>0.010452982461004</v>
      </c>
    </row>
    <row r="203" customFormat="false" ht="15" hidden="false" customHeight="true" outlineLevel="0" collapsed="false">
      <c r="A203" s="3" t="n">
        <v>26.25</v>
      </c>
      <c r="B203" s="4" t="n">
        <v>280.0124</v>
      </c>
      <c r="C203" s="5" t="n">
        <v>5057474</v>
      </c>
      <c r="D203" s="5" t="n">
        <v>924089</v>
      </c>
      <c r="E203" s="6" t="n">
        <v>280.013030896615</v>
      </c>
      <c r="F203" s="6" t="n">
        <v>280.014616346125</v>
      </c>
      <c r="G203" s="6" t="n">
        <v>280.021087370672</v>
      </c>
      <c r="H203" s="6" t="n">
        <f aca="false">ABS(E203-B203)</f>
        <v>0.000630896615007259</v>
      </c>
      <c r="I203" s="6" t="n">
        <f aca="false">ABS(F203-B203)</f>
        <v>0.0022163461250102</v>
      </c>
      <c r="J203" s="6" t="n">
        <f aca="false">ABS(G203-B203)</f>
        <v>0.00868737067196435</v>
      </c>
    </row>
    <row r="204" customFormat="false" ht="15" hidden="false" customHeight="true" outlineLevel="0" collapsed="false">
      <c r="A204" s="3" t="n">
        <v>26.25</v>
      </c>
      <c r="B204" s="4" t="n">
        <v>290.0116</v>
      </c>
      <c r="C204" s="5" t="n">
        <v>5231438</v>
      </c>
      <c r="D204" s="5" t="n">
        <v>924303</v>
      </c>
      <c r="E204" s="6" t="n">
        <v>290.01164226274</v>
      </c>
      <c r="F204" s="6" t="n">
        <v>290.013161331349</v>
      </c>
      <c r="G204" s="6" t="n">
        <v>290.016897056442</v>
      </c>
      <c r="H204" s="6" t="n">
        <f aca="false">ABS(E204-B204)</f>
        <v>4.22627400098463E-005</v>
      </c>
      <c r="I204" s="6" t="n">
        <f aca="false">ABS(F204-B204)</f>
        <v>0.00156133134902348</v>
      </c>
      <c r="J204" s="6" t="n">
        <f aca="false">ABS(G204-B204)</f>
        <v>0.00529705644203204</v>
      </c>
    </row>
    <row r="205" customFormat="false" ht="15" hidden="false" customHeight="true" outlineLevel="0" collapsed="false">
      <c r="A205" s="3" t="n">
        <v>26.25</v>
      </c>
      <c r="B205" s="4" t="n">
        <v>300.0112</v>
      </c>
      <c r="C205" s="5" t="n">
        <v>5405330</v>
      </c>
      <c r="D205" s="5" t="n">
        <v>924512</v>
      </c>
      <c r="E205" s="6" t="n">
        <v>300.011565178616</v>
      </c>
      <c r="F205" s="6" t="n">
        <v>300.012630180733</v>
      </c>
      <c r="G205" s="6" t="n">
        <v>300.012629574758</v>
      </c>
      <c r="H205" s="6" t="n">
        <f aca="false">ABS(E205-B205)</f>
        <v>0.000365178616050343</v>
      </c>
      <c r="I205" s="6" t="n">
        <f aca="false">ABS(F205-B205)</f>
        <v>0.00143018073305257</v>
      </c>
      <c r="J205" s="6" t="n">
        <f aca="false">ABS(G205-B205)</f>
        <v>0.00142957475804906</v>
      </c>
    </row>
    <row r="206" customFormat="false" ht="15" hidden="false" customHeight="true" outlineLevel="0" collapsed="false">
      <c r="A206" s="3" t="n">
        <v>28</v>
      </c>
      <c r="B206" s="4" t="n">
        <v>10.0027</v>
      </c>
      <c r="C206" s="5" t="n">
        <v>336634</v>
      </c>
      <c r="D206" s="5" t="n">
        <v>913233</v>
      </c>
      <c r="E206" s="6" t="n">
        <v>10.001060993418</v>
      </c>
      <c r="F206" s="6" t="n">
        <v>10.0007845700905</v>
      </c>
      <c r="G206" s="6" t="n">
        <v>10.0005179443911</v>
      </c>
      <c r="H206" s="6" t="n">
        <f aca="false">ABS(E206-B206)</f>
        <v>0.00163900658200156</v>
      </c>
      <c r="I206" s="6" t="n">
        <f aca="false">ABS(F206-B206)</f>
        <v>0.00191542990950033</v>
      </c>
      <c r="J206" s="6" t="n">
        <f aca="false">ABS(G206-B206)</f>
        <v>0.00218205560890006</v>
      </c>
    </row>
    <row r="207" customFormat="false" ht="15" hidden="false" customHeight="true" outlineLevel="0" collapsed="false">
      <c r="A207" s="3" t="n">
        <v>28</v>
      </c>
      <c r="B207" s="4" t="n">
        <v>20.0033</v>
      </c>
      <c r="C207" s="5" t="n">
        <v>511379</v>
      </c>
      <c r="D207" s="5" t="n">
        <v>913510</v>
      </c>
      <c r="E207" s="6" t="n">
        <v>20.0018210309896</v>
      </c>
      <c r="F207" s="6" t="n">
        <v>20.0015067926268</v>
      </c>
      <c r="G207" s="6" t="n">
        <v>20.0010586642422</v>
      </c>
      <c r="H207" s="6" t="n">
        <f aca="false">ABS(E207-B207)</f>
        <v>0.00147896901039957</v>
      </c>
      <c r="I207" s="6" t="n">
        <f aca="false">ABS(F207-B207)</f>
        <v>0.00179320737320055</v>
      </c>
      <c r="J207" s="6" t="n">
        <f aca="false">ABS(G207-B207)</f>
        <v>0.00224133575779817</v>
      </c>
    </row>
    <row r="208" customFormat="false" ht="15" hidden="false" customHeight="true" outlineLevel="0" collapsed="false">
      <c r="A208" s="3" t="n">
        <v>28</v>
      </c>
      <c r="B208" s="4" t="n">
        <v>40.0042</v>
      </c>
      <c r="C208" s="5" t="n">
        <v>860802</v>
      </c>
      <c r="D208" s="5" t="n">
        <v>914069</v>
      </c>
      <c r="E208" s="6" t="n">
        <v>40.003266784913</v>
      </c>
      <c r="F208" s="6" t="n">
        <v>40.003577106213</v>
      </c>
      <c r="G208" s="6" t="n">
        <v>40.0031232605404</v>
      </c>
      <c r="H208" s="6" t="n">
        <f aca="false">ABS(E208-B208)</f>
        <v>0.000933215086995176</v>
      </c>
      <c r="I208" s="6" t="n">
        <f aca="false">ABS(F208-B208)</f>
        <v>0.000622893786996315</v>
      </c>
      <c r="J208" s="6" t="n">
        <f aca="false">ABS(G208-B208)</f>
        <v>0.00107673945959874</v>
      </c>
    </row>
    <row r="209" customFormat="false" ht="15" hidden="false" customHeight="true" outlineLevel="0" collapsed="false">
      <c r="A209" s="3" t="n">
        <v>28</v>
      </c>
      <c r="B209" s="4" t="n">
        <v>50.0047</v>
      </c>
      <c r="C209" s="5" t="n">
        <v>1035484</v>
      </c>
      <c r="D209" s="5" t="n">
        <v>914345</v>
      </c>
      <c r="E209" s="6" t="n">
        <v>50.0043926637682</v>
      </c>
      <c r="F209" s="6" t="n">
        <v>50.0051646004142</v>
      </c>
      <c r="G209" s="6" t="n">
        <v>50.0048844103339</v>
      </c>
      <c r="H209" s="6" t="n">
        <f aca="false">ABS(E209-B209)</f>
        <v>0.000307336231799127</v>
      </c>
      <c r="I209" s="6" t="n">
        <f aca="false">ABS(F209-B209)</f>
        <v>0.000464600414197491</v>
      </c>
      <c r="J209" s="6" t="n">
        <f aca="false">ABS(G209-B209)</f>
        <v>0.000184410333901042</v>
      </c>
    </row>
    <row r="210" customFormat="false" ht="15" hidden="false" customHeight="true" outlineLevel="0" collapsed="false">
      <c r="A210" s="3" t="n">
        <v>28</v>
      </c>
      <c r="B210" s="4" t="n">
        <v>70.0035</v>
      </c>
      <c r="C210" s="5" t="n">
        <v>1384681</v>
      </c>
      <c r="D210" s="5" t="n">
        <v>914860</v>
      </c>
      <c r="E210" s="6" t="n">
        <v>70.0033059872997</v>
      </c>
      <c r="F210" s="6" t="n">
        <v>70.0030680840622</v>
      </c>
      <c r="G210" s="6" t="n">
        <v>70.0051917963738</v>
      </c>
      <c r="H210" s="6" t="n">
        <f aca="false">ABS(E210-B210)</f>
        <v>0.000194012700305279</v>
      </c>
      <c r="I210" s="6" t="n">
        <f aca="false">ABS(F210-B210)</f>
        <v>0.000431915937795679</v>
      </c>
      <c r="J210" s="6" t="n">
        <f aca="false">ABS(G210-B210)</f>
        <v>0.00169179637379102</v>
      </c>
    </row>
    <row r="211" customFormat="false" ht="15" hidden="false" customHeight="true" outlineLevel="0" collapsed="false">
      <c r="A211" s="3" t="n">
        <v>28</v>
      </c>
      <c r="B211" s="4" t="n">
        <v>80.0037</v>
      </c>
      <c r="C211" s="5" t="n">
        <v>1559222</v>
      </c>
      <c r="D211" s="5" t="n">
        <v>915139</v>
      </c>
      <c r="E211" s="6" t="n">
        <v>80.0012723195057</v>
      </c>
      <c r="F211" s="6" t="n">
        <v>80.0003065085722</v>
      </c>
      <c r="G211" s="6" t="n">
        <v>80.0037033200437</v>
      </c>
      <c r="H211" s="6" t="n">
        <f aca="false">ABS(E211-B211)</f>
        <v>0.00242768049429287</v>
      </c>
      <c r="I211" s="6" t="n">
        <f aca="false">ABS(F211-B211)</f>
        <v>0.00339349142780065</v>
      </c>
      <c r="J211" s="6" t="n">
        <f aca="false">ABS(G211-B211)</f>
        <v>3.32004370307004E-006</v>
      </c>
    </row>
    <row r="212" customFormat="false" ht="15" hidden="false" customHeight="true" outlineLevel="0" collapsed="false">
      <c r="A212" s="3" t="n">
        <v>28</v>
      </c>
      <c r="B212" s="4" t="n">
        <v>100.004</v>
      </c>
      <c r="C212" s="5" t="n">
        <v>1908325</v>
      </c>
      <c r="D212" s="5" t="n">
        <v>915696</v>
      </c>
      <c r="E212" s="6" t="n">
        <v>100.003541476114</v>
      </c>
      <c r="F212" s="6" t="n">
        <v>100.002772102111</v>
      </c>
      <c r="G212" s="6" t="n">
        <v>100.006170216776</v>
      </c>
      <c r="H212" s="6" t="n">
        <f aca="false">ABS(E212-B212)</f>
        <v>0.000458523886010198</v>
      </c>
      <c r="I212" s="6" t="n">
        <f aca="false">ABS(F212-B212)</f>
        <v>0.00122789788900946</v>
      </c>
      <c r="J212" s="6" t="n">
        <f aca="false">ABS(G212-B212)</f>
        <v>0.00217021677599405</v>
      </c>
    </row>
    <row r="213" customFormat="false" ht="15" hidden="false" customHeight="true" outlineLevel="0" collapsed="false">
      <c r="A213" s="3" t="n">
        <v>28</v>
      </c>
      <c r="B213" s="4" t="n">
        <v>110.0037</v>
      </c>
      <c r="C213" s="5" t="n">
        <v>2082809</v>
      </c>
      <c r="D213" s="5" t="n">
        <v>915968</v>
      </c>
      <c r="E213" s="6" t="n">
        <v>110.004019753559</v>
      </c>
      <c r="F213" s="6" t="n">
        <v>110.003937711485</v>
      </c>
      <c r="G213" s="6" t="n">
        <v>110.006061346984</v>
      </c>
      <c r="H213" s="6" t="n">
        <f aca="false">ABS(E213-B213)</f>
        <v>0.000319753559011815</v>
      </c>
      <c r="I213" s="6" t="n">
        <f aca="false">ABS(F213-B213)</f>
        <v>0.000237711484999181</v>
      </c>
      <c r="J213" s="6" t="n">
        <f aca="false">ABS(G213-B213)</f>
        <v>0.00236134698400292</v>
      </c>
    </row>
    <row r="214" customFormat="false" ht="15" hidden="false" customHeight="true" outlineLevel="0" collapsed="false">
      <c r="A214" s="3" t="n">
        <v>28</v>
      </c>
      <c r="B214" s="4" t="n">
        <v>130.0045</v>
      </c>
      <c r="C214" s="5" t="n">
        <v>2431635</v>
      </c>
      <c r="D214" s="5" t="n">
        <v>916504</v>
      </c>
      <c r="E214" s="6" t="n">
        <v>130.003694087647</v>
      </c>
      <c r="F214" s="6" t="n">
        <v>130.004080899262</v>
      </c>
      <c r="G214" s="6" t="n">
        <v>130.001188805423</v>
      </c>
      <c r="H214" s="6" t="n">
        <f aca="false">ABS(E214-B214)</f>
        <v>0.000805912353001759</v>
      </c>
      <c r="I214" s="6" t="n">
        <f aca="false">ABS(F214-B214)</f>
        <v>0.000419100738014322</v>
      </c>
      <c r="J214" s="6" t="n">
        <f aca="false">ABS(G214-B214)</f>
        <v>0.00331119457700879</v>
      </c>
    </row>
    <row r="215" customFormat="false" ht="15" hidden="false" customHeight="true" outlineLevel="0" collapsed="false">
      <c r="A215" s="3" t="n">
        <v>28</v>
      </c>
      <c r="B215" s="4" t="n">
        <v>140.005</v>
      </c>
      <c r="C215" s="5" t="n">
        <v>2605984</v>
      </c>
      <c r="D215" s="5" t="n">
        <v>916770</v>
      </c>
      <c r="E215" s="6" t="n">
        <v>140.003347334447</v>
      </c>
      <c r="F215" s="6" t="n">
        <v>140.0035212586</v>
      </c>
      <c r="G215" s="6" t="n">
        <v>139.998624733059</v>
      </c>
      <c r="H215" s="6" t="n">
        <f aca="false">ABS(E215-B215)</f>
        <v>0.00165266555299581</v>
      </c>
      <c r="I215" s="6" t="n">
        <f aca="false">ABS(F215-B215)</f>
        <v>0.00147874140000681</v>
      </c>
      <c r="J215" s="6" t="n">
        <f aca="false">ABS(G215-B215)</f>
        <v>0.00637526694100643</v>
      </c>
    </row>
    <row r="216" customFormat="false" ht="15" hidden="false" customHeight="true" outlineLevel="0" collapsed="false">
      <c r="A216" s="3" t="n">
        <v>28</v>
      </c>
      <c r="B216" s="4" t="n">
        <v>160.0063</v>
      </c>
      <c r="C216" s="5" t="n">
        <v>2954537</v>
      </c>
      <c r="D216" s="5" t="n">
        <v>917289</v>
      </c>
      <c r="E216" s="6" t="n">
        <v>160.002968438122</v>
      </c>
      <c r="F216" s="6" t="n">
        <v>160.002882839668</v>
      </c>
      <c r="G216" s="6" t="n">
        <v>159.99665582951</v>
      </c>
      <c r="H216" s="6" t="n">
        <f aca="false">ABS(E216-B216)</f>
        <v>0.00333156187801364</v>
      </c>
      <c r="I216" s="6" t="n">
        <f aca="false">ABS(F216-B216)</f>
        <v>0.00341716033202033</v>
      </c>
      <c r="J216" s="6" t="n">
        <f aca="false">ABS(G216-B216)</f>
        <v>0.00964417049002009</v>
      </c>
    </row>
    <row r="217" customFormat="false" ht="15" hidden="false" customHeight="true" outlineLevel="0" collapsed="false">
      <c r="A217" s="3" t="n">
        <v>28</v>
      </c>
      <c r="B217" s="4" t="n">
        <v>170.0065</v>
      </c>
      <c r="C217" s="5" t="n">
        <v>3128852</v>
      </c>
      <c r="D217" s="5" t="n">
        <v>917546</v>
      </c>
      <c r="E217" s="6" t="n">
        <v>170.009137486353</v>
      </c>
      <c r="F217" s="6" t="n">
        <v>170.008734753489</v>
      </c>
      <c r="G217" s="6" t="n">
        <v>170.003178072765</v>
      </c>
      <c r="H217" s="6" t="n">
        <f aca="false">ABS(E217-B217)</f>
        <v>0.00263748635302363</v>
      </c>
      <c r="I217" s="6" t="n">
        <f aca="false">ABS(F217-B217)</f>
        <v>0.00223475348900593</v>
      </c>
      <c r="J217" s="6" t="n">
        <f aca="false">ABS(G217-B217)</f>
        <v>0.00332192723499247</v>
      </c>
    </row>
    <row r="218" customFormat="false" ht="15" hidden="false" customHeight="true" outlineLevel="0" collapsed="false">
      <c r="A218" s="3" t="n">
        <v>28</v>
      </c>
      <c r="B218" s="4" t="n">
        <v>190.0078</v>
      </c>
      <c r="C218" s="5" t="n">
        <v>3477096</v>
      </c>
      <c r="D218" s="5" t="n">
        <v>918044</v>
      </c>
      <c r="E218" s="6" t="n">
        <v>190.00977852097</v>
      </c>
      <c r="F218" s="6" t="n">
        <v>190.0076699702</v>
      </c>
      <c r="G218" s="6" t="n">
        <v>190.006130247298</v>
      </c>
      <c r="H218" s="6" t="n">
        <f aca="false">ABS(E218-B218)</f>
        <v>0.00197852096999895</v>
      </c>
      <c r="I218" s="6" t="n">
        <f aca="false">ABS(F218-B218)</f>
        <v>0.00013002980000465</v>
      </c>
      <c r="J218" s="6" t="n">
        <f aca="false">ABS(G218-B218)</f>
        <v>0.00166975270201419</v>
      </c>
    </row>
    <row r="219" customFormat="false" ht="15" hidden="false" customHeight="true" outlineLevel="0" collapsed="false">
      <c r="A219" s="3" t="n">
        <v>28</v>
      </c>
      <c r="B219" s="4" t="n">
        <v>200.0084</v>
      </c>
      <c r="C219" s="5" t="n">
        <v>3651114</v>
      </c>
      <c r="D219" s="5" t="n">
        <v>918294</v>
      </c>
      <c r="E219" s="6" t="n">
        <v>200.008279334065</v>
      </c>
      <c r="F219" s="6" t="n">
        <v>200.00759787592</v>
      </c>
      <c r="G219" s="6" t="n">
        <v>200.006309441279</v>
      </c>
      <c r="H219" s="6" t="n">
        <f aca="false">ABS(E219-B219)</f>
        <v>0.000120665934986164</v>
      </c>
      <c r="I219" s="6" t="n">
        <f aca="false">ABS(F219-B219)</f>
        <v>0.000802124079996247</v>
      </c>
      <c r="J219" s="6" t="n">
        <f aca="false">ABS(G219-B219)</f>
        <v>0.00209055872099384</v>
      </c>
    </row>
    <row r="220" customFormat="false" ht="15" hidden="false" customHeight="true" outlineLevel="0" collapsed="false">
      <c r="A220" s="3" t="n">
        <v>28</v>
      </c>
      <c r="B220" s="4" t="n">
        <v>220.0078</v>
      </c>
      <c r="C220" s="5" t="n">
        <v>3998980</v>
      </c>
      <c r="D220" s="5" t="n">
        <v>918771</v>
      </c>
      <c r="E220" s="6" t="n">
        <v>220.008648380099</v>
      </c>
      <c r="F220" s="6" t="n">
        <v>220.009108481302</v>
      </c>
      <c r="G220" s="6" t="n">
        <v>220.01035024979</v>
      </c>
      <c r="H220" s="6" t="n">
        <f aca="false">ABS(E220-B220)</f>
        <v>0.000848380099000679</v>
      </c>
      <c r="I220" s="6" t="n">
        <f aca="false">ABS(F220-B220)</f>
        <v>0.00130848130200434</v>
      </c>
      <c r="J220" s="6" t="n">
        <f aca="false">ABS(G220-B220)</f>
        <v>0.00255024979000495</v>
      </c>
    </row>
    <row r="221" customFormat="false" ht="15" hidden="false" customHeight="true" outlineLevel="0" collapsed="false">
      <c r="A221" s="3" t="n">
        <v>28</v>
      </c>
      <c r="B221" s="4" t="n">
        <v>230.0086</v>
      </c>
      <c r="C221" s="5" t="n">
        <v>4172843</v>
      </c>
      <c r="D221" s="5" t="n">
        <v>919007</v>
      </c>
      <c r="E221" s="6" t="n">
        <v>230.010162221659</v>
      </c>
      <c r="F221" s="6" t="n">
        <v>230.011129513755</v>
      </c>
      <c r="G221" s="6" t="n">
        <v>230.013573472843</v>
      </c>
      <c r="H221" s="6" t="n">
        <f aca="false">ABS(E221-B221)</f>
        <v>0.00156222165898612</v>
      </c>
      <c r="I221" s="6" t="n">
        <f aca="false">ABS(F221-B221)</f>
        <v>0.00252951375500743</v>
      </c>
      <c r="J221" s="6" t="n">
        <f aca="false">ABS(G221-B221)</f>
        <v>0.00497347284300531</v>
      </c>
    </row>
    <row r="222" customFormat="false" ht="15" hidden="false" customHeight="true" outlineLevel="0" collapsed="false">
      <c r="A222" s="3" t="n">
        <v>28</v>
      </c>
      <c r="B222" s="4" t="n">
        <v>250.009</v>
      </c>
      <c r="C222" s="5" t="n">
        <v>4520270</v>
      </c>
      <c r="D222" s="5" t="n">
        <v>919467</v>
      </c>
      <c r="E222" s="6" t="n">
        <v>250.008635902808</v>
      </c>
      <c r="F222" s="6" t="n">
        <v>250.008967854685</v>
      </c>
      <c r="G222" s="6" t="n">
        <v>250.014471758424</v>
      </c>
      <c r="H222" s="6" t="n">
        <f aca="false">ABS(E222-B222)</f>
        <v>0.000364097191976498</v>
      </c>
      <c r="I222" s="6" t="n">
        <f aca="false">ABS(F222-B222)</f>
        <v>3.2145314975196E-005</v>
      </c>
      <c r="J222" s="6" t="n">
        <f aca="false">ABS(G222-B222)</f>
        <v>0.00547175842402226</v>
      </c>
    </row>
    <row r="223" customFormat="false" ht="15" hidden="false" customHeight="true" outlineLevel="0" collapsed="false">
      <c r="A223" s="3" t="n">
        <v>28</v>
      </c>
      <c r="B223" s="4" t="n">
        <v>260.0086</v>
      </c>
      <c r="C223" s="5" t="n">
        <v>4693890</v>
      </c>
      <c r="D223" s="5" t="n">
        <v>919692</v>
      </c>
      <c r="E223" s="6" t="n">
        <v>260.008929735083</v>
      </c>
      <c r="F223" s="6" t="n">
        <v>260.008779651822</v>
      </c>
      <c r="G223" s="6" t="n">
        <v>260.015186426296</v>
      </c>
      <c r="H223" s="6" t="n">
        <f aca="false">ABS(E223-B223)</f>
        <v>0.000329735082971183</v>
      </c>
      <c r="I223" s="6" t="n">
        <f aca="false">ABS(F223-B223)</f>
        <v>0.000179651822008964</v>
      </c>
      <c r="J223" s="6" t="n">
        <f aca="false">ABS(G223-B223)</f>
        <v>0.00658642629599626</v>
      </c>
    </row>
    <row r="224" customFormat="false" ht="15" hidden="false" customHeight="true" outlineLevel="0" collapsed="false">
      <c r="A224" s="3" t="n">
        <v>28</v>
      </c>
      <c r="B224" s="4" t="n">
        <v>280.0124</v>
      </c>
      <c r="C224" s="5" t="n">
        <v>5040930</v>
      </c>
      <c r="D224" s="5" t="n">
        <v>920127</v>
      </c>
      <c r="E224" s="6" t="n">
        <v>280.012787970953</v>
      </c>
      <c r="F224" s="6" t="n">
        <v>280.01234540068</v>
      </c>
      <c r="G224" s="6" t="n">
        <v>280.017552645047</v>
      </c>
      <c r="H224" s="6" t="n">
        <f aca="false">ABS(E224-B224)</f>
        <v>0.000387970952999694</v>
      </c>
      <c r="I224" s="6" t="n">
        <f aca="false">ABS(F224-B224)</f>
        <v>5.4599320037596E-005</v>
      </c>
      <c r="J224" s="6" t="n">
        <f aca="false">ABS(G224-B224)</f>
        <v>0.00515264504696233</v>
      </c>
    </row>
    <row r="225" customFormat="false" ht="15" hidden="false" customHeight="true" outlineLevel="0" collapsed="false">
      <c r="A225" s="3" t="n">
        <v>28</v>
      </c>
      <c r="B225" s="4" t="n">
        <v>290.0116</v>
      </c>
      <c r="C225" s="5" t="n">
        <v>5214275</v>
      </c>
      <c r="D225" s="5" t="n">
        <v>920343</v>
      </c>
      <c r="E225" s="6" t="n">
        <v>290.010872558485</v>
      </c>
      <c r="F225" s="6" t="n">
        <v>290.010327298189</v>
      </c>
      <c r="G225" s="6" t="n">
        <v>290.013433358715</v>
      </c>
      <c r="H225" s="6" t="n">
        <f aca="false">ABS(E225-B225)</f>
        <v>0.000727441514982274</v>
      </c>
      <c r="I225" s="6" t="n">
        <f aca="false">ABS(F225-B225)</f>
        <v>0.00127270181098993</v>
      </c>
      <c r="J225" s="6" t="n">
        <f aca="false">ABS(G225-B225)</f>
        <v>0.00183335871503232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4"/>
    <col collapsed="false" customWidth="true" hidden="false" outlineLevel="0" max="4" min="3" style="1" width="13"/>
  </cols>
  <sheetData>
    <row r="1" customFormat="false" ht="4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true" outlineLevel="0" collapsed="false">
      <c r="A2" s="3" t="n">
        <v>15</v>
      </c>
      <c r="B2" s="4" t="n">
        <v>1.0026</v>
      </c>
      <c r="C2" s="5" t="n">
        <v>167971</v>
      </c>
      <c r="D2" s="5" t="n">
        <v>940978</v>
      </c>
    </row>
    <row r="3" customFormat="false" ht="15" hidden="false" customHeight="true" outlineLevel="0" collapsed="false">
      <c r="A3" s="3" t="n">
        <v>15</v>
      </c>
      <c r="B3" s="4" t="n">
        <v>30.004</v>
      </c>
      <c r="C3" s="5" t="n">
        <v>688966</v>
      </c>
      <c r="D3" s="5" t="n">
        <v>941918</v>
      </c>
    </row>
    <row r="4" customFormat="false" ht="15" hidden="false" customHeight="true" outlineLevel="0" collapsed="false">
      <c r="A4" s="3" t="n">
        <v>15</v>
      </c>
      <c r="B4" s="4" t="n">
        <v>60.0036</v>
      </c>
      <c r="C4" s="5" t="n">
        <v>1227617</v>
      </c>
      <c r="D4" s="5" t="n">
        <v>942845</v>
      </c>
    </row>
    <row r="5" customFormat="false" ht="15" hidden="false" customHeight="true" outlineLevel="0" collapsed="false">
      <c r="A5" s="3" t="n">
        <v>15</v>
      </c>
      <c r="B5" s="4" t="n">
        <v>90.0034</v>
      </c>
      <c r="C5" s="5" t="n">
        <v>1766033</v>
      </c>
      <c r="D5" s="5" t="n">
        <v>943757</v>
      </c>
    </row>
    <row r="6" customFormat="false" ht="15" hidden="false" customHeight="true" outlineLevel="0" collapsed="false">
      <c r="A6" s="3" t="n">
        <v>15</v>
      </c>
      <c r="B6" s="4" t="n">
        <v>120.0037</v>
      </c>
      <c r="C6" s="5" t="n">
        <v>2303971</v>
      </c>
      <c r="D6" s="5" t="n">
        <v>944636</v>
      </c>
    </row>
    <row r="7" customFormat="false" ht="15" hidden="false" customHeight="true" outlineLevel="0" collapsed="false">
      <c r="A7" s="3" t="n">
        <v>15</v>
      </c>
      <c r="B7" s="4" t="n">
        <v>150.0051</v>
      </c>
      <c r="C7" s="5" t="n">
        <v>2841558</v>
      </c>
      <c r="D7" s="5" t="n">
        <v>945478</v>
      </c>
    </row>
    <row r="8" customFormat="false" ht="15" hidden="false" customHeight="true" outlineLevel="0" collapsed="false">
      <c r="A8" s="3" t="n">
        <v>15</v>
      </c>
      <c r="B8" s="4" t="n">
        <v>180.0082</v>
      </c>
      <c r="C8" s="5" t="n">
        <v>3378472</v>
      </c>
      <c r="D8" s="5" t="n">
        <v>946282</v>
      </c>
    </row>
    <row r="9" customFormat="false" ht="15" hidden="false" customHeight="true" outlineLevel="0" collapsed="false">
      <c r="A9" s="3" t="n">
        <v>15</v>
      </c>
      <c r="B9" s="4" t="n">
        <v>210.0076</v>
      </c>
      <c r="C9" s="5" t="n">
        <v>3914740</v>
      </c>
      <c r="D9" s="5" t="n">
        <v>947053</v>
      </c>
    </row>
    <row r="10" customFormat="false" ht="15" hidden="false" customHeight="true" outlineLevel="0" collapsed="false">
      <c r="A10" s="3" t="n">
        <v>15</v>
      </c>
      <c r="B10" s="4" t="n">
        <v>240.0082</v>
      </c>
      <c r="C10" s="5" t="n">
        <v>4450400</v>
      </c>
      <c r="D10" s="5" t="n">
        <v>947785</v>
      </c>
    </row>
    <row r="11" customFormat="false" ht="15" hidden="false" customHeight="true" outlineLevel="0" collapsed="false">
      <c r="A11" s="3" t="n">
        <v>15</v>
      </c>
      <c r="B11" s="4" t="n">
        <v>270.0086</v>
      </c>
      <c r="C11" s="5" t="n">
        <v>4985200</v>
      </c>
      <c r="D11" s="5" t="n">
        <v>948483</v>
      </c>
    </row>
    <row r="12" customFormat="false" ht="15" hidden="false" customHeight="true" outlineLevel="0" collapsed="false">
      <c r="A12" s="3" t="n">
        <v>15</v>
      </c>
      <c r="B12" s="4" t="n">
        <v>300.0112</v>
      </c>
      <c r="C12" s="5" t="n">
        <v>5519150</v>
      </c>
      <c r="D12" s="5" t="n">
        <v>949142</v>
      </c>
    </row>
    <row r="13" customFormat="false" ht="15" hidden="false" customHeight="true" outlineLevel="0" collapsed="false">
      <c r="A13" s="3" t="n">
        <v>18</v>
      </c>
      <c r="B13" s="4" t="n">
        <v>1.0026</v>
      </c>
      <c r="C13" s="5" t="n">
        <v>170802</v>
      </c>
      <c r="D13" s="5" t="n">
        <v>934338</v>
      </c>
    </row>
    <row r="14" customFormat="false" ht="15" hidden="false" customHeight="true" outlineLevel="0" collapsed="false">
      <c r="A14" s="3" t="n">
        <v>18</v>
      </c>
      <c r="B14" s="4" t="n">
        <v>30.004</v>
      </c>
      <c r="C14" s="5" t="n">
        <v>688321</v>
      </c>
      <c r="D14" s="5" t="n">
        <v>935288</v>
      </c>
    </row>
    <row r="15" customFormat="false" ht="15" hidden="false" customHeight="true" outlineLevel="0" collapsed="false">
      <c r="A15" s="3" t="n">
        <v>18</v>
      </c>
      <c r="B15" s="4" t="n">
        <v>60.0036</v>
      </c>
      <c r="C15" s="5" t="n">
        <v>1223459</v>
      </c>
      <c r="D15" s="5" t="n">
        <v>936237</v>
      </c>
    </row>
    <row r="16" customFormat="false" ht="15" hidden="false" customHeight="true" outlineLevel="0" collapsed="false">
      <c r="A16" s="3" t="n">
        <v>18</v>
      </c>
      <c r="B16" s="4" t="n">
        <v>90.0034</v>
      </c>
      <c r="C16" s="5" t="n">
        <v>1758358</v>
      </c>
      <c r="D16" s="5" t="n">
        <v>937145</v>
      </c>
    </row>
    <row r="17" customFormat="false" ht="15" hidden="false" customHeight="true" outlineLevel="0" collapsed="false">
      <c r="A17" s="3" t="n">
        <v>18</v>
      </c>
      <c r="B17" s="4" t="n">
        <v>120.0037</v>
      </c>
      <c r="C17" s="5" t="n">
        <v>2292891</v>
      </c>
      <c r="D17" s="5" t="n">
        <v>938021</v>
      </c>
    </row>
    <row r="18" customFormat="false" ht="15" hidden="false" customHeight="true" outlineLevel="0" collapsed="false">
      <c r="A18" s="3" t="n">
        <v>18</v>
      </c>
      <c r="B18" s="4" t="n">
        <v>150.0051</v>
      </c>
      <c r="C18" s="5" t="n">
        <v>2826950</v>
      </c>
      <c r="D18" s="5" t="n">
        <v>938857</v>
      </c>
    </row>
    <row r="19" customFormat="false" ht="15" hidden="false" customHeight="true" outlineLevel="0" collapsed="false">
      <c r="A19" s="3" t="n">
        <v>18</v>
      </c>
      <c r="B19" s="4" t="n">
        <v>180.0082</v>
      </c>
      <c r="C19" s="5" t="n">
        <v>3360574</v>
      </c>
      <c r="D19" s="5" t="n">
        <v>939658</v>
      </c>
    </row>
    <row r="20" customFormat="false" ht="15" hidden="false" customHeight="true" outlineLevel="0" collapsed="false">
      <c r="A20" s="3" t="n">
        <v>18</v>
      </c>
      <c r="B20" s="4" t="n">
        <v>210.0076</v>
      </c>
      <c r="C20" s="5" t="n">
        <v>3893496</v>
      </c>
      <c r="D20" s="5" t="n">
        <v>940423</v>
      </c>
    </row>
    <row r="21" customFormat="false" ht="15" hidden="false" customHeight="true" outlineLevel="0" collapsed="false">
      <c r="A21" s="3" t="n">
        <v>18</v>
      </c>
      <c r="B21" s="4" t="n">
        <v>240.0082</v>
      </c>
      <c r="C21" s="5" t="n">
        <v>4425700</v>
      </c>
      <c r="D21" s="5" t="n">
        <v>941153</v>
      </c>
    </row>
    <row r="22" customFormat="false" ht="15" hidden="false" customHeight="true" outlineLevel="0" collapsed="false">
      <c r="A22" s="3" t="n">
        <v>18</v>
      </c>
      <c r="B22" s="4" t="n">
        <v>270.0086</v>
      </c>
      <c r="C22" s="5" t="n">
        <v>4957200</v>
      </c>
      <c r="D22" s="5" t="n">
        <v>941846</v>
      </c>
    </row>
    <row r="23" customFormat="false" ht="15" hidden="false" customHeight="true" outlineLevel="0" collapsed="false">
      <c r="A23" s="3" t="n">
        <v>18</v>
      </c>
      <c r="B23" s="4" t="n">
        <v>300.0112</v>
      </c>
      <c r="C23" s="5" t="n">
        <v>5487904</v>
      </c>
      <c r="D23" s="5" t="n">
        <v>942503</v>
      </c>
    </row>
    <row r="24" customFormat="false" ht="15" hidden="false" customHeight="true" outlineLevel="0" collapsed="false">
      <c r="A24" s="3" t="n">
        <v>21</v>
      </c>
      <c r="B24" s="4" t="n">
        <v>1.0026</v>
      </c>
      <c r="C24" s="5" t="n">
        <v>173350</v>
      </c>
      <c r="D24" s="5" t="n">
        <v>928084</v>
      </c>
    </row>
    <row r="25" customFormat="false" ht="15" hidden="false" customHeight="true" outlineLevel="0" collapsed="false">
      <c r="A25" s="3" t="n">
        <v>21</v>
      </c>
      <c r="B25" s="4" t="n">
        <v>30.004</v>
      </c>
      <c r="C25" s="5" t="n">
        <v>687655</v>
      </c>
      <c r="D25" s="5" t="n">
        <v>929009</v>
      </c>
    </row>
    <row r="26" customFormat="false" ht="15" hidden="false" customHeight="true" outlineLevel="0" collapsed="false">
      <c r="A26" s="3" t="n">
        <v>21</v>
      </c>
      <c r="B26" s="4" t="n">
        <v>60.0036</v>
      </c>
      <c r="C26" s="5" t="n">
        <v>1219438</v>
      </c>
      <c r="D26" s="5" t="n">
        <v>929908</v>
      </c>
    </row>
    <row r="27" customFormat="false" ht="15" hidden="false" customHeight="true" outlineLevel="0" collapsed="false">
      <c r="A27" s="3" t="n">
        <v>21</v>
      </c>
      <c r="B27" s="4" t="n">
        <v>90.0034</v>
      </c>
      <c r="C27" s="5" t="n">
        <v>1751094</v>
      </c>
      <c r="D27" s="5" t="n">
        <v>930816</v>
      </c>
    </row>
    <row r="28" customFormat="false" ht="15" hidden="false" customHeight="true" outlineLevel="0" collapsed="false">
      <c r="A28" s="3" t="n">
        <v>21</v>
      </c>
      <c r="B28" s="4" t="n">
        <v>120.0037</v>
      </c>
      <c r="C28" s="5" t="n">
        <v>2282358</v>
      </c>
      <c r="D28" s="5" t="n">
        <v>931673</v>
      </c>
    </row>
    <row r="29" customFormat="false" ht="15" hidden="false" customHeight="true" outlineLevel="0" collapsed="false">
      <c r="A29" s="3" t="n">
        <v>21</v>
      </c>
      <c r="B29" s="4" t="n">
        <v>150.0051</v>
      </c>
      <c r="C29" s="5" t="n">
        <v>2813170</v>
      </c>
      <c r="D29" s="5" t="n">
        <v>932506</v>
      </c>
    </row>
    <row r="30" customFormat="false" ht="15" hidden="false" customHeight="true" outlineLevel="0" collapsed="false">
      <c r="A30" s="3" t="n">
        <v>21</v>
      </c>
      <c r="B30" s="4" t="n">
        <v>180.0082</v>
      </c>
      <c r="C30" s="5" t="n">
        <v>3343553</v>
      </c>
      <c r="D30" s="5" t="n">
        <v>933299</v>
      </c>
    </row>
    <row r="31" customFormat="false" ht="15" hidden="false" customHeight="true" outlineLevel="0" collapsed="false">
      <c r="A31" s="3" t="n">
        <v>21</v>
      </c>
      <c r="B31" s="4" t="n">
        <v>210.0076</v>
      </c>
      <c r="C31" s="5" t="n">
        <v>3873291</v>
      </c>
      <c r="D31" s="5" t="n">
        <v>934056</v>
      </c>
    </row>
    <row r="32" customFormat="false" ht="15" hidden="false" customHeight="true" outlineLevel="0" collapsed="false">
      <c r="A32" s="3" t="n">
        <v>21</v>
      </c>
      <c r="B32" s="4" t="n">
        <v>240.0082</v>
      </c>
      <c r="C32" s="5" t="n">
        <v>4402354</v>
      </c>
      <c r="D32" s="5" t="n">
        <v>934780</v>
      </c>
    </row>
    <row r="33" customFormat="false" ht="15" hidden="false" customHeight="true" outlineLevel="0" collapsed="false">
      <c r="A33" s="3" t="n">
        <v>21</v>
      </c>
      <c r="B33" s="4" t="n">
        <v>270.0086</v>
      </c>
      <c r="C33" s="5" t="n">
        <v>4930715</v>
      </c>
      <c r="D33" s="5" t="n">
        <v>935464</v>
      </c>
    </row>
    <row r="34" customFormat="false" ht="15" hidden="false" customHeight="true" outlineLevel="0" collapsed="false">
      <c r="A34" s="3" t="n">
        <v>21</v>
      </c>
      <c r="B34" s="4" t="n">
        <v>300.0112</v>
      </c>
      <c r="C34" s="5" t="n">
        <v>5458300</v>
      </c>
      <c r="D34" s="5" t="n">
        <v>936115</v>
      </c>
    </row>
    <row r="35" customFormat="false" ht="15" hidden="false" customHeight="true" outlineLevel="0" collapsed="false">
      <c r="A35" s="3" t="n">
        <v>24.5</v>
      </c>
      <c r="B35" s="4" t="n">
        <v>1.0026</v>
      </c>
      <c r="C35" s="5" t="n">
        <v>176387</v>
      </c>
      <c r="D35" s="5" t="n">
        <v>920629</v>
      </c>
    </row>
    <row r="36" customFormat="false" ht="15" hidden="false" customHeight="true" outlineLevel="0" collapsed="false">
      <c r="A36" s="3" t="n">
        <v>24.5</v>
      </c>
      <c r="B36" s="4" t="n">
        <v>30.004</v>
      </c>
      <c r="C36" s="5" t="n">
        <v>686910</v>
      </c>
      <c r="D36" s="5" t="n">
        <v>921474</v>
      </c>
    </row>
    <row r="37" customFormat="false" ht="15" hidden="false" customHeight="true" outlineLevel="0" collapsed="false">
      <c r="A37" s="3" t="n">
        <v>24.5</v>
      </c>
      <c r="B37" s="4" t="n">
        <v>60.0036</v>
      </c>
      <c r="C37" s="5" t="n">
        <v>1214781</v>
      </c>
      <c r="D37" s="5" t="n">
        <v>922310</v>
      </c>
    </row>
    <row r="38" customFormat="false" ht="15" hidden="false" customHeight="true" outlineLevel="0" collapsed="false">
      <c r="A38" s="3" t="n">
        <v>24.5</v>
      </c>
      <c r="B38" s="4" t="n">
        <v>90.0034</v>
      </c>
      <c r="C38" s="5" t="n">
        <v>1742517</v>
      </c>
      <c r="D38" s="5" t="n">
        <v>923169</v>
      </c>
    </row>
    <row r="39" customFormat="false" ht="15" hidden="false" customHeight="true" outlineLevel="0" collapsed="false">
      <c r="A39" s="3" t="n">
        <v>24.5</v>
      </c>
      <c r="B39" s="4" t="n">
        <v>120.0037</v>
      </c>
      <c r="C39" s="5" t="n">
        <v>2269780</v>
      </c>
      <c r="D39" s="5" t="n">
        <v>924000</v>
      </c>
    </row>
    <row r="40" customFormat="false" ht="15" hidden="false" customHeight="true" outlineLevel="0" collapsed="false">
      <c r="A40" s="3" t="n">
        <v>24.5</v>
      </c>
      <c r="B40" s="4" t="n">
        <v>150.0051</v>
      </c>
      <c r="C40" s="5" t="n">
        <v>2796700</v>
      </c>
      <c r="D40" s="5" t="n">
        <v>924809</v>
      </c>
    </row>
    <row r="41" customFormat="false" ht="15" hidden="false" customHeight="true" outlineLevel="0" collapsed="false">
      <c r="A41" s="3" t="n">
        <v>24.5</v>
      </c>
      <c r="B41" s="4" t="n">
        <v>180.0082</v>
      </c>
      <c r="C41" s="5" t="n">
        <v>3323184</v>
      </c>
      <c r="D41" s="5" t="n">
        <v>925586</v>
      </c>
    </row>
    <row r="42" customFormat="false" ht="15" hidden="false" customHeight="true" outlineLevel="0" collapsed="false">
      <c r="A42" s="3" t="n">
        <v>24.5</v>
      </c>
      <c r="B42" s="4" t="n">
        <v>210.0076</v>
      </c>
      <c r="C42" s="5" t="n">
        <v>3849059</v>
      </c>
      <c r="D42" s="5" t="n">
        <v>926326</v>
      </c>
    </row>
    <row r="43" customFormat="false" ht="15" hidden="false" customHeight="true" outlineLevel="0" collapsed="false">
      <c r="A43" s="3" t="n">
        <v>24.5</v>
      </c>
      <c r="B43" s="4" t="n">
        <v>240.0082</v>
      </c>
      <c r="C43" s="5" t="n">
        <v>4374334</v>
      </c>
      <c r="D43" s="5" t="n">
        <v>927040</v>
      </c>
    </row>
    <row r="44" customFormat="false" ht="15" hidden="false" customHeight="true" outlineLevel="0" collapsed="false">
      <c r="A44" s="3" t="n">
        <v>24.5</v>
      </c>
      <c r="B44" s="4" t="n">
        <v>270.0086</v>
      </c>
      <c r="C44" s="5" t="n">
        <v>4898908</v>
      </c>
      <c r="D44" s="5" t="n">
        <v>927721</v>
      </c>
    </row>
    <row r="45" customFormat="false" ht="15" hidden="false" customHeight="true" outlineLevel="0" collapsed="false">
      <c r="A45" s="3" t="n">
        <v>24.5</v>
      </c>
      <c r="B45" s="4" t="n">
        <v>300.0112</v>
      </c>
      <c r="C45" s="5" t="n">
        <v>5422741</v>
      </c>
      <c r="D45" s="5" t="n">
        <v>928367</v>
      </c>
    </row>
    <row r="46" customFormat="false" ht="15" hidden="false" customHeight="true" outlineLevel="0" collapsed="false">
      <c r="A46" s="3" t="n">
        <v>28</v>
      </c>
      <c r="B46" s="4" t="n">
        <v>1.0026</v>
      </c>
      <c r="C46" s="5" t="n">
        <v>179382</v>
      </c>
      <c r="D46" s="5" t="n">
        <v>912988</v>
      </c>
    </row>
    <row r="47" customFormat="false" ht="15" hidden="false" customHeight="true" outlineLevel="0" collapsed="false">
      <c r="A47" s="3" t="n">
        <v>28</v>
      </c>
      <c r="B47" s="4" t="n">
        <v>30.004</v>
      </c>
      <c r="C47" s="5" t="n">
        <v>686129</v>
      </c>
      <c r="D47" s="5" t="n">
        <v>913793</v>
      </c>
    </row>
    <row r="48" customFormat="false" ht="15" hidden="false" customHeight="true" outlineLevel="0" collapsed="false">
      <c r="A48" s="3" t="n">
        <v>28</v>
      </c>
      <c r="B48" s="4" t="n">
        <v>60.0036</v>
      </c>
      <c r="C48" s="5" t="n">
        <v>1210058</v>
      </c>
      <c r="D48" s="5" t="n">
        <v>914576</v>
      </c>
    </row>
    <row r="49" customFormat="false" ht="15" hidden="false" customHeight="true" outlineLevel="0" collapsed="false">
      <c r="A49" s="3" t="n">
        <v>28</v>
      </c>
      <c r="B49" s="4" t="n">
        <v>90.0034</v>
      </c>
      <c r="C49" s="5" t="n">
        <v>1733828</v>
      </c>
      <c r="D49" s="5" t="n">
        <v>915420</v>
      </c>
    </row>
    <row r="50" customFormat="false" ht="15" hidden="false" customHeight="true" outlineLevel="0" collapsed="false">
      <c r="A50" s="3" t="n">
        <v>28</v>
      </c>
      <c r="B50" s="4" t="n">
        <v>120.0037</v>
      </c>
      <c r="C50" s="5" t="n">
        <v>2257225</v>
      </c>
      <c r="D50" s="5" t="n">
        <v>916237</v>
      </c>
    </row>
    <row r="51" customFormat="false" ht="15" hidden="false" customHeight="true" outlineLevel="0" collapsed="false">
      <c r="A51" s="3" t="n">
        <v>28</v>
      </c>
      <c r="B51" s="4" t="n">
        <v>150.0051</v>
      </c>
      <c r="C51" s="5" t="n">
        <v>2780320</v>
      </c>
      <c r="D51" s="5" t="n">
        <v>917032</v>
      </c>
    </row>
    <row r="52" customFormat="false" ht="15" hidden="false" customHeight="true" outlineLevel="0" collapsed="false">
      <c r="A52" s="3" t="n">
        <v>28</v>
      </c>
      <c r="B52" s="4" t="n">
        <v>180.0082</v>
      </c>
      <c r="C52" s="5" t="n">
        <v>3303000</v>
      </c>
      <c r="D52" s="5" t="n">
        <v>917797</v>
      </c>
    </row>
    <row r="53" customFormat="false" ht="15" hidden="false" customHeight="true" outlineLevel="0" collapsed="false">
      <c r="A53" s="3" t="n">
        <v>28</v>
      </c>
      <c r="B53" s="4" t="n">
        <v>210.0076</v>
      </c>
      <c r="C53" s="5" t="n">
        <v>3825073</v>
      </c>
      <c r="D53" s="5" t="n">
        <v>918536</v>
      </c>
    </row>
    <row r="54" customFormat="false" ht="15" hidden="false" customHeight="true" outlineLevel="0" collapsed="false">
      <c r="A54" s="3" t="n">
        <v>28</v>
      </c>
      <c r="B54" s="4" t="n">
        <v>240.0082</v>
      </c>
      <c r="C54" s="5" t="n">
        <v>4346552</v>
      </c>
      <c r="D54" s="5" t="n">
        <v>919239</v>
      </c>
    </row>
    <row r="55" customFormat="false" ht="15" hidden="false" customHeight="true" outlineLevel="0" collapsed="false">
      <c r="A55" s="3" t="n">
        <v>28</v>
      </c>
      <c r="B55" s="4" t="n">
        <v>270.0086</v>
      </c>
      <c r="C55" s="5" t="n">
        <v>4867425</v>
      </c>
      <c r="D55" s="5" t="n">
        <v>919913</v>
      </c>
    </row>
    <row r="56" customFormat="false" ht="15" hidden="false" customHeight="true" outlineLevel="0" collapsed="false">
      <c r="A56" s="3" t="n">
        <v>28</v>
      </c>
      <c r="B56" s="4" t="n">
        <v>300.0112</v>
      </c>
      <c r="C56" s="5" t="n">
        <v>5387563</v>
      </c>
      <c r="D56" s="5" t="n">
        <v>920550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5"/>
    <col collapsed="false" customWidth="true" hidden="false" outlineLevel="0" max="3" min="3" style="1" width="8"/>
    <col collapsed="false" customWidth="true" hidden="false" outlineLevel="0" max="9" min="4" style="1" width="17"/>
  </cols>
  <sheetData>
    <row r="1" customFormat="false" ht="45" hidden="false" customHeight="true" outlineLevel="0" collapsed="false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</row>
    <row r="2" customFormat="false" ht="15" hidden="false" customHeight="true" outlineLevel="0" collapsed="false">
      <c r="A2" s="3" t="n">
        <v>15</v>
      </c>
      <c r="B2" s="7" t="s">
        <v>19</v>
      </c>
      <c r="C2" s="7" t="n">
        <f aca="false">COUNTIF('Проверочные точки'!$A$2:$A$225,A2)</f>
        <v>20</v>
      </c>
      <c r="D2" s="6" t="n">
        <f aca="false">SUMPRODUCT(MAX(('Проверочные точки'!$A$2:$A$225=A2)*'Проверочные точки'!$H$2:$H$225))</f>
        <v>0.00372427818399501</v>
      </c>
      <c r="E2" s="6" t="n">
        <f aca="false">SUMPRODUCT(MAX(('Проверочные точки'!$A$2:$A$225=A2)*'Проверочные точки'!$I$2:$I$225))</f>
        <v>0.00435492746498767</v>
      </c>
      <c r="F2" s="6" t="n">
        <f aca="false">SUMPRODUCT(MAX(('Проверочные точки'!$A$2:$A$225=A2)*'Проверочные точки'!$J$2:$J$225))</f>
        <v>0.0079730386669894</v>
      </c>
      <c r="G2" s="6" t="n">
        <f aca="false">AVERAGEIF('Проверочные точки'!$A$2:$A$225,A2,'Проверочные точки'!$H$2:$H$225)</f>
        <v>0.00160954954870345</v>
      </c>
      <c r="H2" s="6" t="n">
        <f aca="false">AVERAGEIF('Проверочные точки'!$A$2:$A$225,A2,'Проверочные точки'!$I$2:$I$225)</f>
        <v>0.00145173295502268</v>
      </c>
      <c r="I2" s="6" t="n">
        <f aca="false">AVERAGEIF('Проверочные точки'!$A$2:$A$225,A2,'Проверочные точки'!$J$2:$J$225)</f>
        <v>0.00238486519392751</v>
      </c>
    </row>
    <row r="3" customFormat="false" ht="15" hidden="false" customHeight="true" outlineLevel="0" collapsed="false">
      <c r="A3" s="3" t="n">
        <v>16.5</v>
      </c>
      <c r="B3" s="7" t="s">
        <v>20</v>
      </c>
      <c r="C3" s="7" t="n">
        <f aca="false">COUNTIF('Проверочные точки'!$A$2:$A$225,A3)</f>
        <v>31</v>
      </c>
      <c r="D3" s="6" t="n">
        <f aca="false">SUMPRODUCT(MAX(('Проверочные точки'!$A$2:$A$225=A3)*'Проверочные точки'!$H$2:$H$225))</f>
        <v>0.00229844417901859</v>
      </c>
      <c r="E3" s="6" t="n">
        <f aca="false">SUMPRODUCT(MAX(('Проверочные точки'!$A$2:$A$225=A3)*'Проверочные точки'!$I$2:$I$225))</f>
        <v>0.00384601068865997</v>
      </c>
      <c r="F3" s="6" t="n">
        <f aca="false">SUMPRODUCT(MAX(('Проверочные точки'!$A$2:$A$225=A3)*'Проверочные точки'!$J$2:$J$225))</f>
        <v>0.00913882545000888</v>
      </c>
      <c r="G3" s="6" t="n">
        <f aca="false">AVERAGEIF('Проверочные точки'!$A$2:$A$225,A3,'Проверочные точки'!$H$2:$H$225)</f>
        <v>0.0006943983089591</v>
      </c>
      <c r="H3" s="6" t="n">
        <f aca="false">AVERAGEIF('Проверочные точки'!$A$2:$A$225,A3,'Проверочные точки'!$I$2:$I$225)</f>
        <v>0.000960854542376237</v>
      </c>
      <c r="I3" s="6" t="n">
        <f aca="false">AVERAGEIF('Проверочные точки'!$A$2:$A$225,A3,'Проверочные точки'!$J$2:$J$225)</f>
        <v>0.00390336889677025</v>
      </c>
    </row>
    <row r="4" customFormat="false" ht="15" hidden="false" customHeight="true" outlineLevel="0" collapsed="false">
      <c r="A4" s="3" t="n">
        <v>18</v>
      </c>
      <c r="B4" s="7" t="s">
        <v>19</v>
      </c>
      <c r="C4" s="7" t="n">
        <f aca="false">COUNTIF('Проверочные точки'!$A$2:$A$225,A4)</f>
        <v>20</v>
      </c>
      <c r="D4" s="6" t="n">
        <f aca="false">SUMPRODUCT(MAX(('Проверочные точки'!$A$2:$A$225=A4)*'Проверочные точки'!$H$2:$H$225))</f>
        <v>0.00268424644599463</v>
      </c>
      <c r="E4" s="6" t="n">
        <f aca="false">SUMPRODUCT(MAX(('Проверочные точки'!$A$2:$A$225=A4)*'Проверочные точки'!$I$2:$I$225))</f>
        <v>0.00243401576340041</v>
      </c>
      <c r="F4" s="6" t="n">
        <f aca="false">SUMPRODUCT(MAX(('Проверочные точки'!$A$2:$A$225=A4)*'Проверочные точки'!$J$2:$J$225))</f>
        <v>0.0114755749140159</v>
      </c>
      <c r="G4" s="6" t="n">
        <f aca="false">AVERAGEIF('Проверочные точки'!$A$2:$A$225,A4,'Проверочные точки'!$H$2:$H$225)</f>
        <v>0.000980534054505533</v>
      </c>
      <c r="H4" s="6" t="n">
        <f aca="false">AVERAGEIF('Проверочные точки'!$A$2:$A$225,A4,'Проверочные точки'!$I$2:$I$225)</f>
        <v>0.00102344781033077</v>
      </c>
      <c r="I4" s="6" t="n">
        <f aca="false">AVERAGEIF('Проверочные точки'!$A$2:$A$225,A4,'Проверочные точки'!$J$2:$J$225)</f>
        <v>0.00480448828943931</v>
      </c>
    </row>
    <row r="5" customFormat="false" ht="15" hidden="false" customHeight="true" outlineLevel="0" collapsed="false">
      <c r="A5" s="3" t="n">
        <v>19.5</v>
      </c>
      <c r="B5" s="7" t="s">
        <v>20</v>
      </c>
      <c r="C5" s="7" t="n">
        <f aca="false">COUNTIF('Проверочные точки'!$A$2:$A$225,A5)</f>
        <v>31</v>
      </c>
      <c r="D5" s="6" t="n">
        <f aca="false">SUMPRODUCT(MAX(('Проверочные точки'!$A$2:$A$225=A5)*'Проверочные точки'!$H$2:$H$225))</f>
        <v>0.0023527041750242</v>
      </c>
      <c r="E5" s="6" t="n">
        <f aca="false">SUMPRODUCT(MAX(('Проверочные точки'!$A$2:$A$225=A5)*'Проверочные точки'!$I$2:$I$225))</f>
        <v>0.00264005137790058</v>
      </c>
      <c r="F5" s="6" t="n">
        <f aca="false">SUMPRODUCT(MAX(('Проверочные точки'!$A$2:$A$225=A5)*'Проверочные точки'!$J$2:$J$225))</f>
        <v>0.0126148211720079</v>
      </c>
      <c r="G5" s="6" t="n">
        <f aca="false">AVERAGEIF('Проверочные точки'!$A$2:$A$225,A5,'Проверочные точки'!$H$2:$H$225)</f>
        <v>0.000884182225934678</v>
      </c>
      <c r="H5" s="6" t="n">
        <f aca="false">AVERAGEIF('Проверочные точки'!$A$2:$A$225,A5,'Проверочные точки'!$I$2:$I$225)</f>
        <v>0.00079480414664181</v>
      </c>
      <c r="I5" s="6" t="n">
        <f aca="false">AVERAGEIF('Проверочные точки'!$A$2:$A$225,A5,'Проверочные точки'!$J$2:$J$225)</f>
        <v>0.00441050523746169</v>
      </c>
    </row>
    <row r="6" customFormat="false" ht="15" hidden="false" customHeight="true" outlineLevel="0" collapsed="false">
      <c r="A6" s="3" t="n">
        <v>21</v>
      </c>
      <c r="B6" s="7" t="s">
        <v>19</v>
      </c>
      <c r="C6" s="7" t="n">
        <f aca="false">COUNTIF('Проверочные точки'!$A$2:$A$225,A6)</f>
        <v>20</v>
      </c>
      <c r="D6" s="6" t="n">
        <f aca="false">SUMPRODUCT(MAX(('Проверочные точки'!$A$2:$A$225=A6)*'Проверочные точки'!$H$2:$H$225))</f>
        <v>0.00314466540616998</v>
      </c>
      <c r="E6" s="6" t="n">
        <f aca="false">SUMPRODUCT(MAX(('Проверочные точки'!$A$2:$A$225=A6)*'Проверочные точки'!$I$2:$I$225))</f>
        <v>0.00292333890761043</v>
      </c>
      <c r="F6" s="6" t="n">
        <f aca="false">SUMPRODUCT(MAX(('Проверочные точки'!$A$2:$A$225=A6)*'Проверочные точки'!$J$2:$J$225))</f>
        <v>0.00994380397202122</v>
      </c>
      <c r="G6" s="6" t="n">
        <f aca="false">AVERAGEIF('Проверочные точки'!$A$2:$A$225,A6,'Проверочные точки'!$H$2:$H$225)</f>
        <v>0.00105930192499022</v>
      </c>
      <c r="H6" s="6" t="n">
        <f aca="false">AVERAGEIF('Проверочные точки'!$A$2:$A$225,A6,'Проверочные точки'!$I$2:$I$225)</f>
        <v>0.000964532855195444</v>
      </c>
      <c r="I6" s="6" t="n">
        <f aca="false">AVERAGEIF('Проверочные точки'!$A$2:$A$225,A6,'Проверочные точки'!$J$2:$J$225)</f>
        <v>0.00424719746413063</v>
      </c>
    </row>
    <row r="7" customFormat="false" ht="15" hidden="false" customHeight="true" outlineLevel="0" collapsed="false">
      <c r="A7" s="3" t="n">
        <v>22.75</v>
      </c>
      <c r="B7" s="7" t="s">
        <v>20</v>
      </c>
      <c r="C7" s="7" t="n">
        <f aca="false">COUNTIF('Проверочные точки'!$A$2:$A$225,A7)</f>
        <v>31</v>
      </c>
      <c r="D7" s="6" t="n">
        <f aca="false">SUMPRODUCT(MAX(('Проверочные точки'!$A$2:$A$225=A7)*'Проверочные точки'!$H$2:$H$225))</f>
        <v>0.00254067469369801</v>
      </c>
      <c r="E7" s="6" t="n">
        <f aca="false">SUMPRODUCT(MAX(('Проверочные точки'!$A$2:$A$225=A7)*'Проверочные точки'!$I$2:$I$225))</f>
        <v>0.0036166155710049</v>
      </c>
      <c r="F7" s="6" t="n">
        <f aca="false">SUMPRODUCT(MAX(('Проверочные точки'!$A$2:$A$225=A7)*'Проверочные точки'!$J$2:$J$225))</f>
        <v>0.0101015581840045</v>
      </c>
      <c r="G7" s="6" t="n">
        <f aca="false">AVERAGEIF('Проверочные точки'!$A$2:$A$225,A7,'Проверочные точки'!$H$2:$H$225)</f>
        <v>0.000827658998326336</v>
      </c>
      <c r="H7" s="6" t="n">
        <f aca="false">AVERAGEIF('Проверочные точки'!$A$2:$A$225,A7,'Проверочные точки'!$I$2:$I$225)</f>
        <v>0.000986421624293782</v>
      </c>
      <c r="I7" s="6" t="n">
        <f aca="false">AVERAGEIF('Проверочные точки'!$A$2:$A$225,A7,'Проверочные точки'!$J$2:$J$225)</f>
        <v>0.00415363041185215</v>
      </c>
    </row>
    <row r="8" customFormat="false" ht="15" hidden="false" customHeight="true" outlineLevel="0" collapsed="false">
      <c r="A8" s="3" t="n">
        <v>24.5</v>
      </c>
      <c r="B8" s="7" t="s">
        <v>19</v>
      </c>
      <c r="C8" s="7" t="n">
        <f aca="false">COUNTIF('Проверочные точки'!$A$2:$A$225,A8)</f>
        <v>20</v>
      </c>
      <c r="D8" s="6" t="n">
        <f aca="false">SUMPRODUCT(MAX(('Проверочные точки'!$A$2:$A$225=A8)*'Проверочные точки'!$H$2:$H$225))</f>
        <v>0.00312771600897577</v>
      </c>
      <c r="E8" s="6" t="n">
        <f aca="false">SUMPRODUCT(MAX(('Проверочные точки'!$A$2:$A$225=A8)*'Проверочные точки'!$I$2:$I$225))</f>
        <v>0.00419303779898428</v>
      </c>
      <c r="F8" s="6" t="n">
        <f aca="false">SUMPRODUCT(MAX(('Проверочные точки'!$A$2:$A$225=A8)*'Проверочные точки'!$J$2:$J$225))</f>
        <v>0.00949502370900746</v>
      </c>
      <c r="G8" s="6" t="n">
        <f aca="false">AVERAGEIF('Проверочные точки'!$A$2:$A$225,A8,'Проверочные точки'!$H$2:$H$225)</f>
        <v>0.00107435051751814</v>
      </c>
      <c r="H8" s="6" t="n">
        <f aca="false">AVERAGEIF('Проверочные точки'!$A$2:$A$225,A8,'Проверочные точки'!$I$2:$I$225)</f>
        <v>0.00171925580598584</v>
      </c>
      <c r="I8" s="6" t="n">
        <f aca="false">AVERAGEIF('Проверочные точки'!$A$2:$A$225,A8,'Проверочные точки'!$J$2:$J$225)</f>
        <v>0.00427029909126837</v>
      </c>
    </row>
    <row r="9" customFormat="false" ht="15" hidden="false" customHeight="true" outlineLevel="0" collapsed="false">
      <c r="A9" s="3" t="n">
        <v>26.25</v>
      </c>
      <c r="B9" s="7" t="s">
        <v>20</v>
      </c>
      <c r="C9" s="7" t="n">
        <f aca="false">COUNTIF('Проверочные точки'!$A$2:$A$225,A9)</f>
        <v>31</v>
      </c>
      <c r="D9" s="6" t="n">
        <f aca="false">SUMPRODUCT(MAX(('Проверочные точки'!$A$2:$A$225=A9)*'Проверочные точки'!$H$2:$H$225))</f>
        <v>0.00302259177560416</v>
      </c>
      <c r="E9" s="6" t="n">
        <f aca="false">SUMPRODUCT(MAX(('Проверочные точки'!$A$2:$A$225=A9)*'Проверочные точки'!$I$2:$I$225))</f>
        <v>0.00463892922759612</v>
      </c>
      <c r="F9" s="6" t="n">
        <f aca="false">SUMPRODUCT(MAX(('Проверочные точки'!$A$2:$A$225=A9)*'Проверочные точки'!$J$2:$J$225))</f>
        <v>0.010452982461004</v>
      </c>
      <c r="G9" s="6" t="n">
        <f aca="false">AVERAGEIF('Проверочные точки'!$A$2:$A$225,A9,'Проверочные точки'!$H$2:$H$225)</f>
        <v>0.000881857808736211</v>
      </c>
      <c r="H9" s="6" t="n">
        <f aca="false">AVERAGEIF('Проверочные точки'!$A$2:$A$225,A9,'Проверочные точки'!$I$2:$I$225)</f>
        <v>0.00124052785106426</v>
      </c>
      <c r="I9" s="6" t="n">
        <f aca="false">AVERAGEIF('Проверочные точки'!$A$2:$A$225,A9,'Проверочные точки'!$J$2:$J$225)</f>
        <v>0.00417680028762246</v>
      </c>
    </row>
    <row r="10" customFormat="false" ht="15" hidden="false" customHeight="true" outlineLevel="0" collapsed="false">
      <c r="A10" s="3" t="n">
        <v>28</v>
      </c>
      <c r="B10" s="7" t="s">
        <v>19</v>
      </c>
      <c r="C10" s="7" t="n">
        <f aca="false">COUNTIF('Проверочные точки'!$A$2:$A$225,A10)</f>
        <v>20</v>
      </c>
      <c r="D10" s="6" t="n">
        <f aca="false">SUMPRODUCT(MAX(('Проверочные точки'!$A$2:$A$225=A10)*'Проверочные точки'!$H$2:$H$225))</f>
        <v>0.00333156187801364</v>
      </c>
      <c r="E10" s="6" t="n">
        <f aca="false">SUMPRODUCT(MAX(('Проверочные точки'!$A$2:$A$225=A10)*'Проверочные точки'!$I$2:$I$225))</f>
        <v>0.00341716033202033</v>
      </c>
      <c r="F10" s="6" t="n">
        <f aca="false">SUMPRODUCT(MAX(('Проверочные точки'!$A$2:$A$225=A10)*'Проверочные точки'!$J$2:$J$225))</f>
        <v>0.00964417049002009</v>
      </c>
      <c r="G10" s="6" t="n">
        <f aca="false">AVERAGEIF('Проверочные точки'!$A$2:$A$225,A10,'Проверочные точки'!$H$2:$H$225)</f>
        <v>0.0011252578546876</v>
      </c>
      <c r="H10" s="6" t="n">
        <f aca="false">AVERAGEIF('Проверочные точки'!$A$2:$A$225,A10,'Проверочные точки'!$I$2:$I$225)</f>
        <v>0.00119730756937857</v>
      </c>
      <c r="I10" s="6" t="n">
        <f aca="false">AVERAGEIF('Проверочные точки'!$A$2:$A$225,A10,'Проверочные точки'!$J$2:$J$225)</f>
        <v>0.00324460015593742</v>
      </c>
    </row>
    <row r="11" customFormat="false" ht="15" hidden="false" customHeight="true" outlineLevel="0" collapsed="false">
      <c r="A11" s="8" t="s">
        <v>21</v>
      </c>
      <c r="B11" s="8"/>
      <c r="C11" s="8" t="n">
        <f aca="false">COUNT('Проверочные точки'!$A$2:$A$225)</f>
        <v>224</v>
      </c>
      <c r="D11" s="9" t="n">
        <f aca="false">MAX('Проверочные точки'!$H$2:$H$225)</f>
        <v>0.00372427818399501</v>
      </c>
      <c r="E11" s="9" t="n">
        <f aca="false">MAX('Проверочные точки'!$I$2:$I$225)</f>
        <v>0.00463892922759612</v>
      </c>
      <c r="F11" s="9" t="n">
        <f aca="false">MAX('Проверочные точки'!$J$2:$J$225)</f>
        <v>0.0126148211720079</v>
      </c>
      <c r="G11" s="9" t="n">
        <f aca="false">AVERAGE('Проверочные точки'!$H$2:$H$225)</f>
        <v>0.000977280783967611</v>
      </c>
      <c r="H11" s="9" t="n">
        <f aca="false">AVERAGE('Проверочные точки'!$I$2:$I$225)</f>
        <v>0.00111868925452645</v>
      </c>
      <c r="I11" s="9" t="n">
        <f aca="false">AVERAGE('Проверочные точки'!$J$2:$J$225)</f>
        <v>0.00399554666847753</v>
      </c>
    </row>
    <row r="13" customFormat="false" ht="15" hidden="false" customHeight="true" outlineLevel="0" collapsed="false">
      <c r="A13" s="10" t="s">
        <v>22</v>
      </c>
    </row>
    <row r="14" customFormat="false" ht="15" hidden="false" customHeight="true" outlineLevel="0" collapsed="false">
      <c r="A14" s="10" t="s">
        <v>23</v>
      </c>
    </row>
    <row r="15" customFormat="false" ht="15" hidden="false" customHeight="true" outlineLevel="0" collapsed="false">
      <c r="A15" s="10" t="s">
        <v>24</v>
      </c>
    </row>
    <row r="16" customFormat="false" ht="15" hidden="false" customHeight="true" outlineLevel="0" collapsed="false">
      <c r="A16" s="10" t="s">
        <v>25</v>
      </c>
    </row>
    <row r="17" customFormat="false" ht="15" hidden="false" customHeight="true" outlineLevel="0" collapsed="false">
      <c r="A17" s="10" t="s">
        <v>26</v>
      </c>
    </row>
    <row r="18" customFormat="false" ht="15" hidden="false" customHeight="true" outlineLevel="0" collapsed="false">
      <c r="A18" s="1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2026-10-01T08:29:20Z</dcterms:created>
  <dc:creator>openpyxl</dc:creator>
  <dc:description/>
  <dc:language>en-US</dc:language>
  <cp:lastModifiedBy/>
  <dcterms:modified xsi:type="dcterms:W3CDTF">2026-10-01T08:39:38Z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